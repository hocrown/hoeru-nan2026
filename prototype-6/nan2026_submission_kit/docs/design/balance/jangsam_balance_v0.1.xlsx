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가정" sheetId="1" state="visible" r:id="rId3"/>
    <sheet name="경지체계" sheetId="2" state="visible" r:id="rId4"/>
    <sheet name="장삼계승" sheetId="3" state="visible" r:id="rId5"/>
    <sheet name="시뮬레이션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<sst xmlns="http://schemas.openxmlformats.org/spreadsheetml/2006/main" count="78" uniqueCount="73">
  <si>
    <r>
      <rPr>
        <b val="true"/>
        <sz val="13"/>
        <rFont val="Noto Sans CJK SC"/>
        <family val="2"/>
      </rPr>
      <t xml:space="preserve">장삼 회차 계승 — 밸런싱 가정 </t>
    </r>
    <r>
      <rPr>
        <b val="true"/>
        <sz val="13"/>
        <rFont val="Arial"/>
        <family val="0"/>
        <charset val="1"/>
      </rPr>
      <t xml:space="preserve">(v0.1)</t>
    </r>
  </si>
  <si>
    <r>
      <rPr>
        <i val="true"/>
        <sz val="9"/>
        <rFont val="Noto Sans CJK SC"/>
        <family val="2"/>
      </rPr>
      <t xml:space="preserve">범례</t>
    </r>
    <r>
      <rPr>
        <i val="true"/>
        <sz val="9"/>
        <rFont val="Arial"/>
        <family val="0"/>
        <charset val="1"/>
      </rPr>
      <t xml:space="preserve">: </t>
    </r>
    <r>
      <rPr>
        <i val="true"/>
        <sz val="9"/>
        <rFont val="Noto Sans CJK SC"/>
        <family val="2"/>
      </rPr>
      <t xml:space="preserve">파란색 글씨 </t>
    </r>
    <r>
      <rPr>
        <i val="true"/>
        <sz val="9"/>
        <rFont val="Arial"/>
        <family val="0"/>
        <charset val="1"/>
      </rPr>
      <t xml:space="preserve">= </t>
    </r>
    <r>
      <rPr>
        <i val="true"/>
        <sz val="9"/>
        <rFont val="Noto Sans CJK SC"/>
        <family val="2"/>
      </rPr>
      <t xml:space="preserve">조정 가능한 입력값 </t>
    </r>
    <r>
      <rPr>
        <i val="true"/>
        <sz val="9"/>
        <rFont val="Arial"/>
        <family val="0"/>
        <charset val="1"/>
      </rPr>
      <t xml:space="preserve">/ </t>
    </r>
    <r>
      <rPr>
        <i val="true"/>
        <sz val="9"/>
        <rFont val="Noto Sans CJK SC"/>
        <family val="2"/>
      </rPr>
      <t xml:space="preserve">검은색 </t>
    </r>
    <r>
      <rPr>
        <i val="true"/>
        <sz val="9"/>
        <rFont val="Arial"/>
        <family val="0"/>
        <charset val="1"/>
      </rPr>
      <t xml:space="preserve">= </t>
    </r>
    <r>
      <rPr>
        <i val="true"/>
        <sz val="9"/>
        <rFont val="Noto Sans CJK SC"/>
        <family val="2"/>
      </rPr>
      <t xml:space="preserve">수식</t>
    </r>
    <r>
      <rPr>
        <i val="true"/>
        <sz val="9"/>
        <rFont val="Arial"/>
        <family val="0"/>
        <charset val="1"/>
      </rPr>
      <t xml:space="preserve">. </t>
    </r>
    <r>
      <rPr>
        <i val="true"/>
        <sz val="9"/>
        <rFont val="Noto Sans CJK SC"/>
        <family val="2"/>
      </rPr>
      <t xml:space="preserve">노란 배경 </t>
    </r>
    <r>
      <rPr>
        <i val="true"/>
        <sz val="9"/>
        <rFont val="Arial"/>
        <family val="0"/>
        <charset val="1"/>
      </rPr>
      <t xml:space="preserve">= </t>
    </r>
    <r>
      <rPr>
        <i val="true"/>
        <sz val="9"/>
        <rFont val="Noto Sans CJK SC"/>
        <family val="2"/>
      </rPr>
      <t xml:space="preserve">핵심 레버</t>
    </r>
    <r>
      <rPr>
        <i val="true"/>
        <sz val="9"/>
        <rFont val="Arial"/>
        <family val="0"/>
        <charset val="1"/>
      </rPr>
      <t xml:space="preserve">.</t>
    </r>
  </si>
  <si>
    <t xml:space="preserve">항목</t>
  </si>
  <si>
    <t xml:space="preserve">값</t>
  </si>
  <si>
    <t xml:space="preserve">비고</t>
  </si>
  <si>
    <r>
      <rPr>
        <sz val="11"/>
        <rFont val="Noto Sans CJK SC"/>
        <family val="2"/>
      </rPr>
      <t xml:space="preserve">레벨업 기본 필요 </t>
    </r>
    <r>
      <rPr>
        <sz val="11"/>
        <rFont val="Arial"/>
        <family val="0"/>
        <charset val="1"/>
      </rPr>
      <t xml:space="preserve">XP</t>
    </r>
  </si>
  <si>
    <r>
      <rPr>
        <sz val="9"/>
        <color rgb="FF666666"/>
        <rFont val="Noto Sans CJK SC"/>
        <family val="2"/>
      </rPr>
      <t xml:space="preserve">계승 </t>
    </r>
    <r>
      <rPr>
        <sz val="9"/>
        <color rgb="FF666666"/>
        <rFont val="Arial"/>
        <family val="0"/>
        <charset val="1"/>
      </rPr>
      <t xml:space="preserve">Lv1 </t>
    </r>
    <r>
      <rPr>
        <sz val="9"/>
        <color rgb="FF666666"/>
        <rFont val="Noto Sans CJK SC"/>
        <family val="2"/>
      </rPr>
      <t xml:space="preserve">필요치</t>
    </r>
  </si>
  <si>
    <r>
      <rPr>
        <sz val="11"/>
        <rFont val="Noto Sans CJK SC"/>
        <family val="2"/>
      </rPr>
      <t xml:space="preserve">레벨당 필요 </t>
    </r>
    <r>
      <rPr>
        <sz val="11"/>
        <rFont val="Arial"/>
        <family val="0"/>
        <charset val="1"/>
      </rPr>
      <t xml:space="preserve">XP </t>
    </r>
    <r>
      <rPr>
        <sz val="11"/>
        <rFont val="Noto Sans CJK SC"/>
        <family val="2"/>
      </rPr>
      <t xml:space="preserve">증가분</t>
    </r>
  </si>
  <si>
    <t xml:space="preserve">선형 증가</t>
  </si>
  <si>
    <t xml:space="preserve">레벨당 스탯 보너스</t>
  </si>
  <si>
    <r>
      <rPr>
        <sz val="9"/>
        <color rgb="FF666666"/>
        <rFont val="Noto Sans CJK SC"/>
        <family val="2"/>
      </rPr>
      <t xml:space="preserve">장삼 전용 영구 보너스 </t>
    </r>
    <r>
      <rPr>
        <sz val="9"/>
        <color rgb="FF666666"/>
        <rFont val="Arial"/>
        <family val="0"/>
        <charset val="1"/>
      </rPr>
      <t xml:space="preserve">(1%/Lv)</t>
    </r>
  </si>
  <si>
    <r>
      <rPr>
        <sz val="11"/>
        <rFont val="Noto Sans CJK SC"/>
        <family val="2"/>
      </rPr>
      <t xml:space="preserve">시작 경지 해금 </t>
    </r>
    <r>
      <rPr>
        <sz val="11"/>
        <rFont val="Arial"/>
        <family val="0"/>
        <charset val="1"/>
      </rPr>
      <t xml:space="preserve">Lv — </t>
    </r>
    <r>
      <rPr>
        <sz val="11"/>
        <rFont val="Noto Sans CJK SC"/>
        <family val="2"/>
      </rPr>
      <t xml:space="preserve">이류</t>
    </r>
  </si>
  <si>
    <r>
      <rPr>
        <sz val="9"/>
        <color rgb="FF666666"/>
        <rFont val="Noto Sans CJK SC"/>
        <family val="2"/>
      </rPr>
      <t xml:space="preserve">계승 보상</t>
    </r>
    <r>
      <rPr>
        <sz val="9"/>
        <color rgb="FF666666"/>
        <rFont val="Arial"/>
        <family val="0"/>
        <charset val="1"/>
      </rPr>
      <t xml:space="preserve">: </t>
    </r>
    <r>
      <rPr>
        <sz val="9"/>
        <color rgb="FF666666"/>
        <rFont val="Noto Sans CJK SC"/>
        <family val="2"/>
      </rPr>
      <t xml:space="preserve">시작 티어 상승</t>
    </r>
  </si>
  <si>
    <r>
      <rPr>
        <sz val="11"/>
        <rFont val="Noto Sans CJK SC"/>
        <family val="2"/>
      </rPr>
      <t xml:space="preserve">시작 경지 해금 </t>
    </r>
    <r>
      <rPr>
        <sz val="11"/>
        <rFont val="Arial"/>
        <family val="0"/>
        <charset val="1"/>
      </rPr>
      <t xml:space="preserve">Lv — </t>
    </r>
    <r>
      <rPr>
        <sz val="11"/>
        <rFont val="Noto Sans CJK SC"/>
        <family val="2"/>
      </rPr>
      <t xml:space="preserve">일류</t>
    </r>
  </si>
  <si>
    <r>
      <rPr>
        <sz val="11"/>
        <rFont val="Noto Sans CJK SC"/>
        <family val="2"/>
      </rPr>
      <t xml:space="preserve">시작 경지 해금 </t>
    </r>
    <r>
      <rPr>
        <sz val="11"/>
        <rFont val="Arial"/>
        <family val="0"/>
        <charset val="1"/>
      </rPr>
      <t xml:space="preserve">Lv — </t>
    </r>
    <r>
      <rPr>
        <sz val="11"/>
        <rFont val="Noto Sans CJK SC"/>
        <family val="2"/>
      </rPr>
      <t xml:space="preserve">절정</t>
    </r>
  </si>
  <si>
    <r>
      <rPr>
        <sz val="9"/>
        <color rgb="FF666666"/>
        <rFont val="Noto Sans CJK SC"/>
        <family val="2"/>
      </rPr>
      <t xml:space="preserve">계승 시작 경지 상한 </t>
    </r>
    <r>
      <rPr>
        <sz val="9"/>
        <color rgb="FF666666"/>
        <rFont val="Arial"/>
        <family val="0"/>
        <charset val="1"/>
      </rPr>
      <t xml:space="preserve">(</t>
    </r>
    <r>
      <rPr>
        <sz val="9"/>
        <color rgb="FF666666"/>
        <rFont val="Noto Sans CJK SC"/>
        <family val="2"/>
      </rPr>
      <t xml:space="preserve">그 이상은 런 내 성장</t>
    </r>
    <r>
      <rPr>
        <sz val="9"/>
        <color rgb="FF666666"/>
        <rFont val="Arial"/>
        <family val="0"/>
        <charset val="1"/>
      </rPr>
      <t xml:space="preserve">)</t>
    </r>
  </si>
  <si>
    <r>
      <rPr>
        <sz val="11"/>
        <rFont val="Noto Sans CJK SC"/>
        <family val="2"/>
      </rPr>
      <t xml:space="preserve">경지 상한 해금 </t>
    </r>
    <r>
      <rPr>
        <sz val="11"/>
        <rFont val="Arial"/>
        <family val="0"/>
        <charset val="1"/>
      </rPr>
      <t xml:space="preserve">Lv — </t>
    </r>
    <r>
      <rPr>
        <sz val="11"/>
        <rFont val="Noto Sans CJK SC"/>
        <family val="2"/>
      </rPr>
      <t xml:space="preserve">현경</t>
    </r>
  </si>
  <si>
    <t xml:space="preserve">런 내 도달 가능 상한 해제</t>
  </si>
  <si>
    <r>
      <rPr>
        <sz val="11"/>
        <rFont val="Noto Sans CJK SC"/>
        <family val="2"/>
      </rPr>
      <t xml:space="preserve">경지 상한 해금 </t>
    </r>
    <r>
      <rPr>
        <sz val="11"/>
        <rFont val="Arial"/>
        <family val="0"/>
        <charset val="1"/>
      </rPr>
      <t xml:space="preserve">Lv — </t>
    </r>
    <r>
      <rPr>
        <sz val="11"/>
        <rFont val="Noto Sans CJK SC"/>
        <family val="2"/>
      </rPr>
      <t xml:space="preserve">생사경</t>
    </r>
  </si>
  <si>
    <r>
      <rPr>
        <sz val="11"/>
        <rFont val="Noto Sans CJK SC"/>
        <family val="2"/>
      </rPr>
      <t xml:space="preserve">기본 전투력 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삼류 기준</t>
    </r>
    <r>
      <rPr>
        <sz val="11"/>
        <rFont val="Arial"/>
        <family val="0"/>
        <charset val="1"/>
      </rPr>
      <t xml:space="preserve">)</t>
    </r>
  </si>
  <si>
    <r>
      <rPr>
        <sz val="9"/>
        <color rgb="FF666666"/>
        <rFont val="Noto Sans CJK SC"/>
        <family val="2"/>
      </rPr>
      <t xml:space="preserve">전투력 </t>
    </r>
    <r>
      <rPr>
        <sz val="9"/>
        <color rgb="FF666666"/>
        <rFont val="Arial"/>
        <family val="0"/>
        <charset val="1"/>
      </rPr>
      <t xml:space="preserve">= </t>
    </r>
    <r>
      <rPr>
        <sz val="9"/>
        <color rgb="FF666666"/>
        <rFont val="Noto Sans CJK SC"/>
        <family val="2"/>
      </rPr>
      <t xml:space="preserve">기본 </t>
    </r>
    <r>
      <rPr>
        <sz val="9"/>
        <color rgb="FF666666"/>
        <rFont val="Arial"/>
        <family val="0"/>
        <charset val="1"/>
      </rPr>
      <t xml:space="preserve">× </t>
    </r>
    <r>
      <rPr>
        <sz val="9"/>
        <color rgb="FF666666"/>
        <rFont val="Noto Sans CJK SC"/>
        <family val="2"/>
      </rPr>
      <t xml:space="preserve">경지배율 </t>
    </r>
    <r>
      <rPr>
        <sz val="9"/>
        <color rgb="FF666666"/>
        <rFont val="Arial"/>
        <family val="0"/>
        <charset val="1"/>
      </rPr>
      <t xml:space="preserve">× (1+</t>
    </r>
    <r>
      <rPr>
        <sz val="9"/>
        <color rgb="FF666666"/>
        <rFont val="Noto Sans CJK SC"/>
        <family val="2"/>
      </rPr>
      <t xml:space="preserve">스탯보너스</t>
    </r>
    <r>
      <rPr>
        <sz val="9"/>
        <color rgb="FF666666"/>
        <rFont val="Arial"/>
        <family val="0"/>
        <charset val="1"/>
      </rPr>
      <t xml:space="preserve">)</t>
    </r>
  </si>
  <si>
    <t xml:space="preserve">파티 메타 기여율 가드레일</t>
  </si>
  <si>
    <t xml:space="preserve">계승 만렙 시 파티 전체 전투력 증가 상한</t>
  </si>
  <si>
    <r>
      <rPr>
        <sz val="11"/>
        <rFont val="Noto Sans CJK SC"/>
        <family val="2"/>
      </rPr>
      <t xml:space="preserve">런당 </t>
    </r>
    <r>
      <rPr>
        <sz val="11"/>
        <rFont val="Arial"/>
        <family val="0"/>
        <charset val="1"/>
      </rPr>
      <t xml:space="preserve">XP — </t>
    </r>
    <r>
      <rPr>
        <sz val="11"/>
        <rFont val="Noto Sans CJK SC"/>
        <family val="2"/>
      </rPr>
      <t xml:space="preserve">초반 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런 </t>
    </r>
    <r>
      <rPr>
        <sz val="11"/>
        <rFont val="Arial"/>
        <family val="0"/>
        <charset val="1"/>
      </rPr>
      <t xml:space="preserve">1~10)</t>
    </r>
  </si>
  <si>
    <t xml:space="preserve">장삼 절정 안팎 도달 가정</t>
  </si>
  <si>
    <r>
      <rPr>
        <sz val="11"/>
        <rFont val="Noto Sans CJK SC"/>
        <family val="2"/>
      </rPr>
      <t xml:space="preserve">런당 </t>
    </r>
    <r>
      <rPr>
        <sz val="11"/>
        <rFont val="Arial"/>
        <family val="0"/>
        <charset val="1"/>
      </rPr>
      <t xml:space="preserve">XP — </t>
    </r>
    <r>
      <rPr>
        <sz val="11"/>
        <rFont val="Noto Sans CJK SC"/>
        <family val="2"/>
      </rPr>
      <t xml:space="preserve">중반 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런 </t>
    </r>
    <r>
      <rPr>
        <sz val="11"/>
        <rFont val="Arial"/>
        <family val="0"/>
        <charset val="1"/>
      </rPr>
      <t xml:space="preserve">11~25)</t>
    </r>
  </si>
  <si>
    <r>
      <rPr>
        <sz val="9"/>
        <color rgb="FF666666"/>
        <rFont val="Noto Sans CJK SC"/>
        <family val="2"/>
      </rPr>
      <t xml:space="preserve">화경 도달 </t>
    </r>
    <r>
      <rPr>
        <sz val="9"/>
        <color rgb="FF666666"/>
        <rFont val="Arial"/>
        <family val="0"/>
        <charset val="1"/>
      </rPr>
      <t xml:space="preserve">+ </t>
    </r>
    <r>
      <rPr>
        <sz val="9"/>
        <color rgb="FF666666"/>
        <rFont val="Noto Sans CJK SC"/>
        <family val="2"/>
      </rPr>
      <t xml:space="preserve">장 클리어 보너스</t>
    </r>
  </si>
  <si>
    <r>
      <rPr>
        <sz val="11"/>
        <rFont val="Noto Sans CJK SC"/>
        <family val="2"/>
      </rPr>
      <t xml:space="preserve">런당 </t>
    </r>
    <r>
      <rPr>
        <sz val="11"/>
        <rFont val="Arial"/>
        <family val="0"/>
        <charset val="1"/>
      </rPr>
      <t xml:space="preserve">XP — </t>
    </r>
    <r>
      <rPr>
        <sz val="11"/>
        <rFont val="Noto Sans CJK SC"/>
        <family val="2"/>
      </rPr>
      <t xml:space="preserve">후반 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런 </t>
    </r>
    <r>
      <rPr>
        <sz val="11"/>
        <rFont val="Arial"/>
        <family val="0"/>
        <charset val="1"/>
      </rPr>
      <t xml:space="preserve">26~)</t>
    </r>
  </si>
  <si>
    <r>
      <rPr>
        <sz val="9"/>
        <color rgb="FF666666"/>
        <rFont val="Noto Sans CJK SC"/>
        <family val="2"/>
      </rPr>
      <t xml:space="preserve">사관 모드 </t>
    </r>
    <r>
      <rPr>
        <sz val="9"/>
        <color rgb="FF666666"/>
        <rFont val="Arial"/>
        <family val="0"/>
        <charset val="1"/>
      </rPr>
      <t xml:space="preserve">XP </t>
    </r>
    <r>
      <rPr>
        <sz val="9"/>
        <color rgb="FF666666"/>
        <rFont val="Noto Sans CJK SC"/>
        <family val="2"/>
      </rPr>
      <t xml:space="preserve">배율 포함 가정</t>
    </r>
  </si>
  <si>
    <r>
      <rPr>
        <sz val="11"/>
        <rFont val="Noto Sans CJK SC"/>
        <family val="2"/>
      </rPr>
      <t xml:space="preserve">계승 </t>
    </r>
    <r>
      <rPr>
        <sz val="11"/>
        <rFont val="Arial"/>
        <family val="0"/>
        <charset val="1"/>
      </rPr>
      <t xml:space="preserve">XP </t>
    </r>
    <r>
      <rPr>
        <sz val="11"/>
        <rFont val="Noto Sans CJK SC"/>
        <family val="2"/>
      </rPr>
      <t xml:space="preserve">산식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설계 메모</t>
    </r>
    <r>
      <rPr>
        <sz val="11"/>
        <rFont val="Arial"/>
        <family val="0"/>
        <charset val="1"/>
      </rPr>
      <t xml:space="preserve">)</t>
    </r>
  </si>
  <si>
    <r>
      <rPr>
        <sz val="9"/>
        <color rgb="FF666666"/>
        <rFont val="Noto Sans CJK SC"/>
        <family val="2"/>
      </rPr>
      <t xml:space="preserve">런 종료 시</t>
    </r>
    <r>
      <rPr>
        <sz val="9"/>
        <color rgb="FF666666"/>
        <rFont val="Arial"/>
        <family val="0"/>
        <charset val="1"/>
      </rPr>
      <t xml:space="preserve">: </t>
    </r>
    <r>
      <rPr>
        <sz val="9"/>
        <color rgb="FF666666"/>
        <rFont val="Noto Sans CJK SC"/>
        <family val="2"/>
      </rPr>
      <t xml:space="preserve">장삼 최종 경지 티어</t>
    </r>
    <r>
      <rPr>
        <sz val="9"/>
        <color rgb="FF666666"/>
        <rFont val="Arial"/>
        <family val="0"/>
        <charset val="1"/>
      </rPr>
      <t xml:space="preserve">×10 + </t>
    </r>
    <r>
      <rPr>
        <sz val="9"/>
        <color rgb="FF666666"/>
        <rFont val="Noto Sans CJK SC"/>
        <family val="2"/>
      </rPr>
      <t xml:space="preserve">클리어한 장</t>
    </r>
    <r>
      <rPr>
        <sz val="9"/>
        <color rgb="FF666666"/>
        <rFont val="Arial"/>
        <family val="0"/>
        <charset val="1"/>
      </rPr>
      <t xml:space="preserve">×5, </t>
    </r>
    <r>
      <rPr>
        <sz val="9"/>
        <color rgb="FF666666"/>
        <rFont val="Noto Sans CJK SC"/>
        <family val="2"/>
      </rPr>
      <t xml:space="preserve">사관 배율 </t>
    </r>
    <r>
      <rPr>
        <sz val="9"/>
        <color rgb="FF666666"/>
        <rFont val="Arial"/>
        <family val="0"/>
        <charset val="1"/>
      </rPr>
      <t xml:space="preserve">×1.5</t>
    </r>
  </si>
  <si>
    <r>
      <rPr>
        <b val="true"/>
        <sz val="12"/>
        <rFont val="Noto Sans CJK SC"/>
        <family val="2"/>
      </rPr>
      <t xml:space="preserve">경지 체계 </t>
    </r>
    <r>
      <rPr>
        <b val="true"/>
        <sz val="12"/>
        <rFont val="Arial"/>
        <family val="0"/>
        <charset val="1"/>
      </rPr>
      <t xml:space="preserve">(</t>
    </r>
    <r>
      <rPr>
        <b val="true"/>
        <sz val="12"/>
        <rFont val="Noto Sans CJK SC"/>
        <family val="2"/>
      </rPr>
      <t xml:space="preserve">전 인물 공통 </t>
    </r>
    <r>
      <rPr>
        <b val="true"/>
        <sz val="12"/>
        <rFont val="Arial"/>
        <family val="0"/>
        <charset val="1"/>
      </rPr>
      <t xml:space="preserve">/ </t>
    </r>
    <r>
      <rPr>
        <b val="true"/>
        <sz val="12"/>
        <rFont val="Noto Sans CJK SC"/>
        <family val="2"/>
      </rPr>
      <t xml:space="preserve">장삼만 </t>
    </r>
    <r>
      <rPr>
        <b val="true"/>
        <sz val="12"/>
        <rFont val="Arial"/>
        <family val="0"/>
        <charset val="1"/>
      </rPr>
      <t xml:space="preserve">7~8 </t>
    </r>
    <r>
      <rPr>
        <b val="true"/>
        <sz val="12"/>
        <rFont val="Noto Sans CJK SC"/>
        <family val="2"/>
      </rPr>
      <t xml:space="preserve">접근 가능</t>
    </r>
    <r>
      <rPr>
        <b val="true"/>
        <sz val="12"/>
        <rFont val="Arial"/>
        <family val="0"/>
        <charset val="1"/>
      </rPr>
      <t xml:space="preserve">)</t>
    </r>
  </si>
  <si>
    <t xml:space="preserve">티어</t>
  </si>
  <si>
    <t xml:space="preserve">경지</t>
  </si>
  <si>
    <t xml:space="preserve">스탯 배율</t>
  </si>
  <si>
    <t xml:space="preserve">승급 필요 중복 계약</t>
  </si>
  <si>
    <t xml:space="preserve">누적 중복</t>
  </si>
  <si>
    <t xml:space="preserve">삼류</t>
  </si>
  <si>
    <r>
      <rPr>
        <sz val="9"/>
        <color rgb="FF666666"/>
        <rFont val="Noto Sans CJK SC"/>
        <family val="2"/>
      </rPr>
      <t xml:space="preserve">시작 경지 </t>
    </r>
    <r>
      <rPr>
        <sz val="9"/>
        <color rgb="FF666666"/>
        <rFont val="Arial"/>
        <family val="0"/>
        <charset val="1"/>
      </rPr>
      <t xml:space="preserve">(</t>
    </r>
    <r>
      <rPr>
        <sz val="9"/>
        <color rgb="FF666666"/>
        <rFont val="Noto Sans CJK SC"/>
        <family val="2"/>
      </rPr>
      <t xml:space="preserve">계승 미보유 시</t>
    </r>
    <r>
      <rPr>
        <sz val="9"/>
        <color rgb="FF666666"/>
        <rFont val="Arial"/>
        <family val="0"/>
        <charset val="1"/>
      </rPr>
      <t xml:space="preserve">)</t>
    </r>
  </si>
  <si>
    <t xml:space="preserve">이류</t>
  </si>
  <si>
    <t xml:space="preserve">일류</t>
  </si>
  <si>
    <t xml:space="preserve">절정</t>
  </si>
  <si>
    <r>
      <rPr>
        <sz val="9"/>
        <color rgb="FF666666"/>
        <rFont val="Noto Sans CJK SC"/>
        <family val="2"/>
      </rPr>
      <t xml:space="preserve">장삼 계승 </t>
    </r>
    <r>
      <rPr>
        <sz val="9"/>
        <color rgb="FF666666"/>
        <rFont val="Arial"/>
        <family val="0"/>
        <charset val="1"/>
      </rPr>
      <t xml:space="preserve">'</t>
    </r>
    <r>
      <rPr>
        <sz val="9"/>
        <color rgb="FF666666"/>
        <rFont val="Noto Sans CJK SC"/>
        <family val="2"/>
      </rPr>
      <t xml:space="preserve">시작 경지</t>
    </r>
    <r>
      <rPr>
        <sz val="9"/>
        <color rgb="FF666666"/>
        <rFont val="Arial"/>
        <family val="0"/>
        <charset val="1"/>
      </rPr>
      <t xml:space="preserve">' </t>
    </r>
    <r>
      <rPr>
        <sz val="9"/>
        <color rgb="FF666666"/>
        <rFont val="Noto Sans CJK SC"/>
        <family val="2"/>
      </rPr>
      <t xml:space="preserve">상한</t>
    </r>
  </si>
  <si>
    <t xml:space="preserve">초절정</t>
  </si>
  <si>
    <t xml:space="preserve">화경</t>
  </si>
  <si>
    <t xml:space="preserve">일반 인물 경지 상한</t>
  </si>
  <si>
    <t xml:space="preserve">현경</t>
  </si>
  <si>
    <r>
      <rPr>
        <sz val="9"/>
        <color rgb="FF666666"/>
        <rFont val="Noto Sans CJK SC"/>
        <family val="2"/>
      </rPr>
      <t xml:space="preserve">장삼 전용 — 계승 </t>
    </r>
    <r>
      <rPr>
        <sz val="9"/>
        <color rgb="FF666666"/>
        <rFont val="Arial"/>
        <family val="0"/>
        <charset val="1"/>
      </rPr>
      <t xml:space="preserve">Lv12 </t>
    </r>
    <r>
      <rPr>
        <sz val="9"/>
        <color rgb="FF666666"/>
        <rFont val="Noto Sans CJK SC"/>
        <family val="2"/>
      </rPr>
      <t xml:space="preserve">해금</t>
    </r>
  </si>
  <si>
    <t xml:space="preserve">생사경</t>
  </si>
  <si>
    <r>
      <rPr>
        <sz val="9"/>
        <color rgb="FF666666"/>
        <rFont val="Noto Sans CJK SC"/>
        <family val="2"/>
      </rPr>
      <t xml:space="preserve">장삼 전용 — 계승 </t>
    </r>
    <r>
      <rPr>
        <sz val="9"/>
        <color rgb="FF666666"/>
        <rFont val="Arial"/>
        <family val="0"/>
        <charset val="1"/>
      </rPr>
      <t xml:space="preserve">Lv24 </t>
    </r>
    <r>
      <rPr>
        <sz val="9"/>
        <color rgb="FF666666"/>
        <rFont val="Noto Sans CJK SC"/>
        <family val="2"/>
      </rPr>
      <t xml:space="preserve">해금</t>
    </r>
  </si>
  <si>
    <r>
      <rPr>
        <b val="true"/>
        <sz val="12"/>
        <rFont val="Noto Sans CJK SC"/>
        <family val="2"/>
      </rPr>
      <t xml:space="preserve">장삼 계승 레벨 테이블 </t>
    </r>
    <r>
      <rPr>
        <b val="true"/>
        <sz val="12"/>
        <rFont val="Arial"/>
        <family val="0"/>
        <charset val="1"/>
      </rPr>
      <t xml:space="preserve">(Lv 0~30)</t>
    </r>
  </si>
  <si>
    <r>
      <rPr>
        <b val="true"/>
        <sz val="11"/>
        <rFont val="Noto Sans CJK SC"/>
        <family val="2"/>
      </rPr>
      <t xml:space="preserve">계승 </t>
    </r>
    <r>
      <rPr>
        <b val="true"/>
        <sz val="11"/>
        <rFont val="Arial"/>
        <family val="0"/>
        <charset val="1"/>
      </rPr>
      <t xml:space="preserve">Lv</t>
    </r>
  </si>
  <si>
    <r>
      <rPr>
        <b val="true"/>
        <sz val="11"/>
        <rFont val="Noto Sans CJK SC"/>
        <family val="2"/>
      </rPr>
      <t xml:space="preserve">필요 </t>
    </r>
    <r>
      <rPr>
        <b val="true"/>
        <sz val="11"/>
        <rFont val="Arial"/>
        <family val="0"/>
        <charset val="1"/>
      </rPr>
      <t xml:space="preserve">XP</t>
    </r>
  </si>
  <si>
    <r>
      <rPr>
        <b val="true"/>
        <sz val="11"/>
        <rFont val="Noto Sans CJK SC"/>
        <family val="2"/>
      </rPr>
      <t xml:space="preserve">누적 </t>
    </r>
    <r>
      <rPr>
        <b val="true"/>
        <sz val="11"/>
        <rFont val="Arial"/>
        <family val="0"/>
        <charset val="1"/>
      </rPr>
      <t xml:space="preserve">XP</t>
    </r>
  </si>
  <si>
    <t xml:space="preserve">스탯 보너스</t>
  </si>
  <si>
    <t xml:space="preserve">시작 경지 티어</t>
  </si>
  <si>
    <t xml:space="preserve">경지 상한 티어</t>
  </si>
  <si>
    <t xml:space="preserve">마일스톤</t>
  </si>
  <si>
    <r>
      <rPr>
        <sz val="9"/>
        <color rgb="FF666666"/>
        <rFont val="Noto Sans CJK SC"/>
        <family val="2"/>
      </rPr>
      <t xml:space="preserve">시작 경지</t>
    </r>
    <r>
      <rPr>
        <sz val="9"/>
        <color rgb="FF666666"/>
        <rFont val="Arial"/>
        <family val="0"/>
        <charset val="1"/>
      </rPr>
      <t xml:space="preserve">: </t>
    </r>
    <r>
      <rPr>
        <sz val="9"/>
        <color rgb="FF666666"/>
        <rFont val="Noto Sans CJK SC"/>
        <family val="2"/>
      </rPr>
      <t xml:space="preserve">이류</t>
    </r>
  </si>
  <si>
    <r>
      <rPr>
        <sz val="9"/>
        <color rgb="FF666666"/>
        <rFont val="Noto Sans CJK SC"/>
        <family val="2"/>
      </rPr>
      <t xml:space="preserve">시작 경지</t>
    </r>
    <r>
      <rPr>
        <sz val="9"/>
        <color rgb="FF666666"/>
        <rFont val="Arial"/>
        <family val="0"/>
        <charset val="1"/>
      </rPr>
      <t xml:space="preserve">: </t>
    </r>
    <r>
      <rPr>
        <sz val="9"/>
        <color rgb="FF666666"/>
        <rFont val="Noto Sans CJK SC"/>
        <family val="2"/>
      </rPr>
      <t xml:space="preserve">일류</t>
    </r>
  </si>
  <si>
    <r>
      <rPr>
        <sz val="9"/>
        <color rgb="FF666666"/>
        <rFont val="Noto Sans CJK SC"/>
        <family val="2"/>
      </rPr>
      <t xml:space="preserve">상한 해제</t>
    </r>
    <r>
      <rPr>
        <sz val="9"/>
        <color rgb="FF666666"/>
        <rFont val="Arial"/>
        <family val="0"/>
        <charset val="1"/>
      </rPr>
      <t xml:space="preserve">: </t>
    </r>
    <r>
      <rPr>
        <sz val="9"/>
        <color rgb="FF666666"/>
        <rFont val="Noto Sans CJK SC"/>
        <family val="2"/>
      </rPr>
      <t xml:space="preserve">현경</t>
    </r>
  </si>
  <si>
    <r>
      <rPr>
        <sz val="9"/>
        <color rgb="FF666666"/>
        <rFont val="Noto Sans CJK SC"/>
        <family val="2"/>
      </rPr>
      <t xml:space="preserve">시작 경지</t>
    </r>
    <r>
      <rPr>
        <sz val="9"/>
        <color rgb="FF666666"/>
        <rFont val="Arial"/>
        <family val="0"/>
        <charset val="1"/>
      </rPr>
      <t xml:space="preserve">: </t>
    </r>
    <r>
      <rPr>
        <sz val="9"/>
        <color rgb="FF666666"/>
        <rFont val="Noto Sans CJK SC"/>
        <family val="2"/>
      </rPr>
      <t xml:space="preserve">절정 </t>
    </r>
    <r>
      <rPr>
        <sz val="9"/>
        <color rgb="FF666666"/>
        <rFont val="Arial"/>
        <family val="0"/>
        <charset val="1"/>
      </rPr>
      <t xml:space="preserve">(</t>
    </r>
    <r>
      <rPr>
        <sz val="9"/>
        <color rgb="FF666666"/>
        <rFont val="Noto Sans CJK SC"/>
        <family val="2"/>
      </rPr>
      <t xml:space="preserve">상한</t>
    </r>
    <r>
      <rPr>
        <sz val="9"/>
        <color rgb="FF666666"/>
        <rFont val="Arial"/>
        <family val="0"/>
        <charset val="1"/>
      </rPr>
      <t xml:space="preserve">)</t>
    </r>
  </si>
  <si>
    <r>
      <rPr>
        <sz val="9"/>
        <color rgb="FF666666"/>
        <rFont val="Noto Sans CJK SC"/>
        <family val="2"/>
      </rPr>
      <t xml:space="preserve">상한 해제</t>
    </r>
    <r>
      <rPr>
        <sz val="9"/>
        <color rgb="FF666666"/>
        <rFont val="Arial"/>
        <family val="0"/>
        <charset val="1"/>
      </rPr>
      <t xml:space="preserve">: </t>
    </r>
    <r>
      <rPr>
        <sz val="9"/>
        <color rgb="FF666666"/>
        <rFont val="Noto Sans CJK SC"/>
        <family val="2"/>
      </rPr>
      <t xml:space="preserve">생사경</t>
    </r>
  </si>
  <si>
    <r>
      <rPr>
        <sz val="9"/>
        <color rgb="FF666666"/>
        <rFont val="Noto Sans CJK SC"/>
        <family val="2"/>
      </rPr>
      <t xml:space="preserve">고유 각인 </t>
    </r>
    <r>
      <rPr>
        <sz val="9"/>
        <color rgb="FF666666"/>
        <rFont val="Arial"/>
        <family val="0"/>
        <charset val="1"/>
      </rPr>
      <t xml:space="preserve">'</t>
    </r>
    <r>
      <rPr>
        <sz val="9"/>
        <color rgb="FF666666"/>
        <rFont val="Noto Sans CJK SC"/>
        <family val="2"/>
      </rPr>
      <t xml:space="preserve">무명</t>
    </r>
    <r>
      <rPr>
        <sz val="9"/>
        <color rgb="FF666666"/>
        <rFont val="Arial"/>
        <family val="0"/>
        <charset val="1"/>
      </rPr>
      <t xml:space="preserve">(</t>
    </r>
    <r>
      <rPr>
        <sz val="9"/>
        <color rgb="FF666666"/>
        <rFont val="Noto Sans CJK SC"/>
        <family val="2"/>
      </rPr>
      <t xml:space="preserve">無名</t>
    </r>
    <r>
      <rPr>
        <sz val="9"/>
        <color rgb="FF666666"/>
        <rFont val="Arial"/>
        <family val="0"/>
        <charset val="1"/>
      </rPr>
      <t xml:space="preserve">)' — </t>
    </r>
    <r>
      <rPr>
        <sz val="9"/>
        <color rgb="FF666666"/>
        <rFont val="Noto Sans CJK SC"/>
        <family val="2"/>
      </rPr>
      <t xml:space="preserve">런당 </t>
    </r>
    <r>
      <rPr>
        <sz val="9"/>
        <color rgb="FF666666"/>
        <rFont val="Arial"/>
        <family val="0"/>
        <charset val="1"/>
      </rPr>
      <t xml:space="preserve">1</t>
    </r>
    <r>
      <rPr>
        <sz val="9"/>
        <color rgb="FF666666"/>
        <rFont val="Noto Sans CJK SC"/>
        <family val="2"/>
      </rPr>
      <t xml:space="preserve">회 소멸 무효</t>
    </r>
  </si>
  <si>
    <r>
      <rPr>
        <b val="true"/>
        <sz val="12"/>
        <rFont val="Noto Sans CJK SC"/>
        <family val="2"/>
      </rPr>
      <t xml:space="preserve">회차 진행 시뮬레이션 </t>
    </r>
    <r>
      <rPr>
        <b val="true"/>
        <sz val="12"/>
        <rFont val="Arial"/>
        <family val="0"/>
        <charset val="1"/>
      </rPr>
      <t xml:space="preserve">(</t>
    </r>
    <r>
      <rPr>
        <b val="true"/>
        <sz val="12"/>
        <rFont val="Noto Sans CJK SC"/>
        <family val="2"/>
      </rPr>
      <t xml:space="preserve">런 </t>
    </r>
    <r>
      <rPr>
        <b val="true"/>
        <sz val="12"/>
        <rFont val="Arial"/>
        <family val="0"/>
        <charset val="1"/>
      </rPr>
      <t xml:space="preserve">1~40) — </t>
    </r>
    <r>
      <rPr>
        <b val="true"/>
        <sz val="12"/>
        <rFont val="Noto Sans CJK SC"/>
        <family val="2"/>
      </rPr>
      <t xml:space="preserve">장삼 편성 </t>
    </r>
    <r>
      <rPr>
        <b val="true"/>
        <sz val="12"/>
        <rFont val="Arial"/>
        <family val="0"/>
        <charset val="1"/>
      </rPr>
      <t xml:space="preserve">100% </t>
    </r>
    <r>
      <rPr>
        <b val="true"/>
        <sz val="12"/>
        <rFont val="Noto Sans CJK SC"/>
        <family val="2"/>
      </rPr>
      <t xml:space="preserve">가정</t>
    </r>
  </si>
  <si>
    <t xml:space="preserve">런</t>
  </si>
  <si>
    <r>
      <rPr>
        <b val="true"/>
        <sz val="11"/>
        <rFont val="Noto Sans CJK SC"/>
        <family val="2"/>
      </rPr>
      <t xml:space="preserve">획득 </t>
    </r>
    <r>
      <rPr>
        <b val="true"/>
        <sz val="11"/>
        <rFont val="Arial"/>
        <family val="0"/>
        <charset val="1"/>
      </rPr>
      <t xml:space="preserve">XP</t>
    </r>
  </si>
  <si>
    <t xml:space="preserve">상한 배율</t>
  </si>
  <si>
    <t xml:space="preserve">장삼 최대 전투력</t>
  </si>
  <si>
    <t xml:space="preserve">화경 인물 대비</t>
  </si>
  <si>
    <t xml:space="preserve">파티 메타 기여율</t>
  </si>
  <si>
    <t xml:space="preserve">가드레일</t>
  </si>
  <si>
    <r>
      <rPr>
        <i val="true"/>
        <sz val="9"/>
        <rFont val="Noto Sans CJK SC"/>
        <family val="2"/>
      </rPr>
      <t xml:space="preserve">메모</t>
    </r>
    <r>
      <rPr>
        <i val="true"/>
        <sz val="9"/>
        <rFont val="Arial"/>
        <family val="0"/>
        <charset val="1"/>
      </rPr>
      <t xml:space="preserve">: '</t>
    </r>
    <r>
      <rPr>
        <i val="true"/>
        <sz val="9"/>
        <rFont val="Noto Sans CJK SC"/>
        <family val="2"/>
      </rPr>
      <t xml:space="preserve">파티 메타 기여율</t>
    </r>
    <r>
      <rPr>
        <i val="true"/>
        <sz val="9"/>
        <rFont val="Arial"/>
        <family val="0"/>
        <charset val="1"/>
      </rPr>
      <t xml:space="preserve">' = (</t>
    </r>
    <r>
      <rPr>
        <i val="true"/>
        <sz val="9"/>
        <rFont val="Noto Sans CJK SC"/>
        <family val="2"/>
      </rPr>
      <t xml:space="preserve">화경</t>
    </r>
    <r>
      <rPr>
        <i val="true"/>
        <sz val="9"/>
        <rFont val="Arial"/>
        <family val="0"/>
        <charset val="1"/>
      </rPr>
      <t xml:space="preserve">5+</t>
    </r>
    <r>
      <rPr>
        <i val="true"/>
        <sz val="9"/>
        <rFont val="Noto Sans CJK SC"/>
        <family val="2"/>
      </rPr>
      <t xml:space="preserve">장삼</t>
    </r>
    <r>
      <rPr>
        <i val="true"/>
        <sz val="9"/>
        <rFont val="Arial"/>
        <family val="0"/>
        <charset val="1"/>
      </rPr>
      <t xml:space="preserve">) ÷ (</t>
    </r>
    <r>
      <rPr>
        <i val="true"/>
        <sz val="9"/>
        <rFont val="Noto Sans CJK SC"/>
        <family val="2"/>
      </rPr>
      <t xml:space="preserve">화경</t>
    </r>
    <r>
      <rPr>
        <i val="true"/>
        <sz val="9"/>
        <rFont val="Arial"/>
        <family val="0"/>
        <charset val="1"/>
      </rPr>
      <t xml:space="preserve">6) - 1. </t>
    </r>
    <r>
      <rPr>
        <i val="true"/>
        <sz val="9"/>
        <rFont val="Noto Sans CJK SC"/>
        <family val="2"/>
      </rPr>
      <t xml:space="preserve">장삼 개인은 강해지되 파티 전체 메타 팽창은 가드레일</t>
    </r>
    <r>
      <rPr>
        <i val="true"/>
        <sz val="9"/>
        <rFont val="Arial"/>
        <family val="0"/>
        <charset val="1"/>
      </rPr>
      <t xml:space="preserve">(15%) </t>
    </r>
    <r>
      <rPr>
        <i val="true"/>
        <sz val="9"/>
        <rFont val="Noto Sans CJK SC"/>
        <family val="2"/>
      </rPr>
      <t xml:space="preserve">이내로 통제</t>
    </r>
    <r>
      <rPr>
        <i val="true"/>
        <sz val="9"/>
        <rFont val="Arial"/>
        <family val="0"/>
        <charset val="1"/>
      </rPr>
      <t xml:space="preserve">.</t>
    </r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</si>
</sst>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%"/>
    <numFmt numFmtId="166" formatCode="0.00"/>
    <numFmt numFmtId="167" formatCode="#,##0.0"/>
    <numFmt numFmtId="168" formatCode="0.00\x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Noto Sans CJK SC"/>
      <family val="2"/>
    </font>
    <font>
      <b val="true"/>
      <sz val="13"/>
      <name val="Arial"/>
      <family val="0"/>
      <charset val="1"/>
    </font>
    <font>
      <i val="true"/>
      <sz val="9"/>
      <name val="Noto Sans CJK SC"/>
      <family val="2"/>
    </font>
    <font>
      <i val="true"/>
      <sz val="9"/>
      <name val="Arial"/>
      <family val="0"/>
      <charset val="1"/>
    </font>
    <font>
      <b val="true"/>
      <sz val="11"/>
      <name val="Noto Sans CJK SC"/>
      <family val="2"/>
    </font>
    <font>
      <sz val="11"/>
      <name val="Noto Sans CJK SC"/>
      <family val="2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sz val="9"/>
      <color rgb="FF666666"/>
      <name val="Noto Sans CJK SC"/>
      <family val="2"/>
    </font>
    <font>
      <sz val="9"/>
      <color rgb="FF666666"/>
      <name val="Arial"/>
      <family val="0"/>
      <charset val="1"/>
    </font>
    <font>
      <b val="true"/>
      <sz val="12"/>
      <name val="Noto Sans CJK SC"/>
      <family val="2"/>
    </font>
    <font>
      <b val="true"/>
      <sz val="12"/>
      <name val="Arial"/>
      <family val="0"/>
      <charset val="1"/>
    </font>
    <font>
      <b val="true"/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9D9D9"/>
        <bgColor rgb="FFC0C0C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2"/>
    <col collapsed="false" customWidth="true" hidden="false" outlineLevel="0" max="3" min="3" style="0" width="58"/>
  </cols>
  <sheetData>
    <row r="1" customFormat="false" ht="20.1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</row>
    <row r="5" customFormat="false" ht="17.15" hidden="false" customHeight="false" outlineLevel="0" collapsed="false">
      <c r="A5" s="4" t="s">
        <v>5</v>
      </c>
      <c r="B5" s="5" t="n">
        <v>25</v>
      </c>
      <c r="C5" s="6" t="s">
        <v>6</v>
      </c>
    </row>
    <row r="6" customFormat="false" ht="17.15" hidden="false" customHeight="false" outlineLevel="0" collapsed="false">
      <c r="A6" s="4" t="s">
        <v>7</v>
      </c>
      <c r="B6" s="5" t="n">
        <v>8</v>
      </c>
      <c r="C6" s="6" t="s">
        <v>8</v>
      </c>
    </row>
    <row r="7" customFormat="false" ht="15" hidden="false" customHeight="false" outlineLevel="0" collapsed="false">
      <c r="A7" s="4" t="s">
        <v>9</v>
      </c>
      <c r="B7" s="7" t="n">
        <v>0.01</v>
      </c>
      <c r="C7" s="6" t="s">
        <v>10</v>
      </c>
    </row>
    <row r="8" customFormat="false" ht="17.15" hidden="false" customHeight="false" outlineLevel="0" collapsed="false">
      <c r="A8" s="4" t="s">
        <v>11</v>
      </c>
      <c r="B8" s="8" t="n">
        <v>5</v>
      </c>
      <c r="C8" s="6" t="s">
        <v>12</v>
      </c>
    </row>
    <row r="9" customFormat="false" ht="17.15" hidden="false" customHeight="false" outlineLevel="0" collapsed="false">
      <c r="A9" s="4" t="s">
        <v>13</v>
      </c>
      <c r="B9" s="8" t="n">
        <v>10</v>
      </c>
      <c r="C9" s="6"/>
    </row>
    <row r="10" customFormat="false" ht="17.15" hidden="false" customHeight="false" outlineLevel="0" collapsed="false">
      <c r="A10" s="4" t="s">
        <v>14</v>
      </c>
      <c r="B10" s="8" t="n">
        <v>18</v>
      </c>
      <c r="C10" s="6" t="s">
        <v>15</v>
      </c>
    </row>
    <row r="11" customFormat="false" ht="17.15" hidden="false" customHeight="false" outlineLevel="0" collapsed="false">
      <c r="A11" s="4" t="s">
        <v>16</v>
      </c>
      <c r="B11" s="8" t="n">
        <v>12</v>
      </c>
      <c r="C11" s="6" t="s">
        <v>17</v>
      </c>
    </row>
    <row r="12" customFormat="false" ht="17.15" hidden="false" customHeight="false" outlineLevel="0" collapsed="false">
      <c r="A12" s="4" t="s">
        <v>18</v>
      </c>
      <c r="B12" s="8" t="n">
        <v>24</v>
      </c>
      <c r="C12" s="6"/>
    </row>
    <row r="13" customFormat="false" ht="17.15" hidden="false" customHeight="false" outlineLevel="0" collapsed="false">
      <c r="A13" s="4" t="s">
        <v>19</v>
      </c>
      <c r="B13" s="8" t="n">
        <v>100</v>
      </c>
      <c r="C13" s="6" t="s">
        <v>20</v>
      </c>
    </row>
    <row r="14" customFormat="false" ht="15" hidden="false" customHeight="false" outlineLevel="0" collapsed="false">
      <c r="A14" s="4" t="s">
        <v>21</v>
      </c>
      <c r="B14" s="7" t="n">
        <v>0.15</v>
      </c>
      <c r="C14" s="6" t="s">
        <v>22</v>
      </c>
    </row>
    <row r="15" customFormat="false" ht="17.15" hidden="false" customHeight="false" outlineLevel="0" collapsed="false">
      <c r="A15" s="4" t="s">
        <v>23</v>
      </c>
      <c r="B15" s="8" t="n">
        <v>60</v>
      </c>
      <c r="C15" s="6" t="s">
        <v>24</v>
      </c>
    </row>
    <row r="16" customFormat="false" ht="17.15" hidden="false" customHeight="false" outlineLevel="0" collapsed="false">
      <c r="A16" s="4" t="s">
        <v>25</v>
      </c>
      <c r="B16" s="8" t="n">
        <v>100</v>
      </c>
      <c r="C16" s="6" t="s">
        <v>26</v>
      </c>
    </row>
    <row r="17" customFormat="false" ht="17.15" hidden="false" customHeight="false" outlineLevel="0" collapsed="false">
      <c r="A17" s="4" t="s">
        <v>27</v>
      </c>
      <c r="B17" s="8" t="n">
        <v>150</v>
      </c>
      <c r="C17" s="6" t="s">
        <v>28</v>
      </c>
    </row>
    <row r="18" customFormat="false" ht="17.15" hidden="false" customHeight="false" outlineLevel="0" collapsed="false">
      <c r="A18" s="4" t="s">
        <v>29</v>
      </c>
      <c r="B18" s="8"/>
      <c r="C18" s="6" t="s">
        <v>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3" min="2" style="0" width="10"/>
    <col collapsed="false" customWidth="true" hidden="false" outlineLevel="0" max="4" min="4" style="0" width="18"/>
    <col collapsed="false" customWidth="true" hidden="false" outlineLevel="0" max="5" min="5" style="0" width="10"/>
    <col collapsed="false" customWidth="true" hidden="false" outlineLevel="0" max="6" min="6" style="0" width="36"/>
  </cols>
  <sheetData>
    <row r="1" customFormat="false" ht="19.4" hidden="false" customHeight="false" outlineLevel="0" collapsed="false">
      <c r="A1" s="9" t="s">
        <v>31</v>
      </c>
    </row>
    <row r="3" customFormat="false" ht="15" hidden="false" customHeight="false" outlineLevel="0" collapsed="false">
      <c r="A3" s="10" t="s">
        <v>32</v>
      </c>
      <c r="B3" s="10" t="s">
        <v>33</v>
      </c>
      <c r="C3" s="10" t="s">
        <v>34</v>
      </c>
      <c r="D3" s="10" t="s">
        <v>35</v>
      </c>
      <c r="E3" s="10" t="s">
        <v>36</v>
      </c>
      <c r="F3" s="10" t="s">
        <v>4</v>
      </c>
    </row>
    <row r="4" customFormat="false" ht="15" hidden="false" customHeight="false" outlineLevel="0" collapsed="false">
      <c r="A4" s="4" t="n">
        <v>1</v>
      </c>
      <c r="B4" s="4" t="s">
        <v>37</v>
      </c>
      <c r="C4" s="11" t="n">
        <v>1</v>
      </c>
      <c r="D4" s="8" t="n">
        <v>0</v>
      </c>
      <c r="E4" s="4" t="n">
        <f aca="false">D4</f>
        <v>0</v>
      </c>
      <c r="F4" s="6" t="s">
        <v>38</v>
      </c>
    </row>
    <row r="5" customFormat="false" ht="15" hidden="false" customHeight="false" outlineLevel="0" collapsed="false">
      <c r="A5" s="4" t="n">
        <v>2</v>
      </c>
      <c r="B5" s="4" t="s">
        <v>39</v>
      </c>
      <c r="C5" s="11" t="n">
        <v>1.15</v>
      </c>
      <c r="D5" s="8" t="n">
        <v>1</v>
      </c>
      <c r="E5" s="4" t="n">
        <f aca="false">E4+D5</f>
        <v>1</v>
      </c>
      <c r="F5" s="6"/>
    </row>
    <row r="6" customFormat="false" ht="15" hidden="false" customHeight="false" outlineLevel="0" collapsed="false">
      <c r="A6" s="4" t="n">
        <v>3</v>
      </c>
      <c r="B6" s="4" t="s">
        <v>40</v>
      </c>
      <c r="C6" s="11" t="n">
        <v>1.35</v>
      </c>
      <c r="D6" s="8" t="n">
        <v>1</v>
      </c>
      <c r="E6" s="4" t="n">
        <f aca="false">E5+D6</f>
        <v>2</v>
      </c>
      <c r="F6" s="6"/>
    </row>
    <row r="7" customFormat="false" ht="15" hidden="false" customHeight="false" outlineLevel="0" collapsed="false">
      <c r="A7" s="4" t="n">
        <v>4</v>
      </c>
      <c r="B7" s="4" t="s">
        <v>41</v>
      </c>
      <c r="C7" s="11" t="n">
        <v>1.6</v>
      </c>
      <c r="D7" s="8" t="n">
        <v>1</v>
      </c>
      <c r="E7" s="4" t="n">
        <f aca="false">E6+D7</f>
        <v>3</v>
      </c>
      <c r="F7" s="6" t="s">
        <v>42</v>
      </c>
    </row>
    <row r="8" customFormat="false" ht="15" hidden="false" customHeight="false" outlineLevel="0" collapsed="false">
      <c r="A8" s="4" t="n">
        <v>5</v>
      </c>
      <c r="B8" s="4" t="s">
        <v>43</v>
      </c>
      <c r="C8" s="11" t="n">
        <v>1.9</v>
      </c>
      <c r="D8" s="8" t="n">
        <v>2</v>
      </c>
      <c r="E8" s="4" t="n">
        <f aca="false">E7+D8</f>
        <v>5</v>
      </c>
      <c r="F8" s="6"/>
    </row>
    <row r="9" customFormat="false" ht="15" hidden="false" customHeight="false" outlineLevel="0" collapsed="false">
      <c r="A9" s="4" t="n">
        <v>6</v>
      </c>
      <c r="B9" s="4" t="s">
        <v>44</v>
      </c>
      <c r="C9" s="11" t="n">
        <v>2.25</v>
      </c>
      <c r="D9" s="8" t="n">
        <v>2</v>
      </c>
      <c r="E9" s="4" t="n">
        <f aca="false">E8+D9</f>
        <v>7</v>
      </c>
      <c r="F9" s="6" t="s">
        <v>45</v>
      </c>
    </row>
    <row r="10" customFormat="false" ht="15" hidden="false" customHeight="false" outlineLevel="0" collapsed="false">
      <c r="A10" s="4" t="n">
        <v>7</v>
      </c>
      <c r="B10" s="4" t="s">
        <v>46</v>
      </c>
      <c r="C10" s="11" t="n">
        <v>2.7</v>
      </c>
      <c r="D10" s="8" t="n">
        <v>3</v>
      </c>
      <c r="E10" s="4" t="n">
        <f aca="false">E9+D10</f>
        <v>10</v>
      </c>
      <c r="F10" s="6" t="s">
        <v>47</v>
      </c>
    </row>
    <row r="11" customFormat="false" ht="15" hidden="false" customHeight="false" outlineLevel="0" collapsed="false">
      <c r="A11" s="4" t="n">
        <v>8</v>
      </c>
      <c r="B11" s="4" t="s">
        <v>48</v>
      </c>
      <c r="C11" s="11" t="n">
        <v>3.25</v>
      </c>
      <c r="D11" s="8" t="n">
        <v>3</v>
      </c>
      <c r="E11" s="4" t="n">
        <f aca="false">E10+D11</f>
        <v>13</v>
      </c>
      <c r="F11" s="6" t="s">
        <v>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9"/>
    <col collapsed="false" customWidth="true" hidden="false" outlineLevel="0" max="4" min="4" style="0" width="12"/>
    <col collapsed="false" customWidth="true" hidden="false" outlineLevel="0" max="6" min="5" style="0" width="14"/>
    <col collapsed="false" customWidth="true" hidden="false" outlineLevel="0" max="7" min="7" style="0" width="42"/>
  </cols>
  <sheetData>
    <row r="1" customFormat="false" ht="19.4" hidden="false" customHeight="false" outlineLevel="0" collapsed="false">
      <c r="A1" s="9" t="s">
        <v>50</v>
      </c>
    </row>
    <row r="3" customFormat="false" ht="17.15" hidden="false" customHeight="false" outlineLevel="0" collapsed="false">
      <c r="A3" s="10" t="s">
        <v>51</v>
      </c>
      <c r="B3" s="10" t="s">
        <v>52</v>
      </c>
      <c r="C3" s="10" t="s">
        <v>53</v>
      </c>
      <c r="D3" s="10" t="s">
        <v>54</v>
      </c>
      <c r="E3" s="10" t="s">
        <v>55</v>
      </c>
      <c r="F3" s="10" t="s">
        <v>56</v>
      </c>
      <c r="G3" s="10" t="s">
        <v>57</v>
      </c>
    </row>
    <row r="4" customFormat="false" ht="15" hidden="false" customHeight="false" outlineLevel="0" collapsed="false">
      <c r="A4" s="4" t="n">
        <v>0</v>
      </c>
      <c r="B4" s="4" t="n">
        <f aca="false">IF(A4=0,0,가정!$B$5+가정!$B$6*(A4-1))</f>
        <v>0</v>
      </c>
      <c r="C4" s="4" t="n">
        <f aca="false">B4</f>
        <v>0</v>
      </c>
      <c r="D4" s="12" t="n">
        <f aca="false">A4*가정!$B$7</f>
        <v>0</v>
      </c>
      <c r="E4" s="4" t="n">
        <f aca="false">1+IF(A4&gt;=가정!$B$8,1,0)+IF(A4&gt;=가정!$B$9,1,0)+IF(A4&gt;=가정!$B$10,1,0)</f>
        <v>1</v>
      </c>
      <c r="F4" s="4" t="n">
        <f aca="false">6+IF(A4&gt;=가정!$B$11,1,0)+IF(A4&gt;=가정!$B$12,1,0)</f>
        <v>6</v>
      </c>
      <c r="G4" s="6"/>
    </row>
    <row r="5" customFormat="false" ht="15" hidden="false" customHeight="false" outlineLevel="0" collapsed="false">
      <c r="A5" s="4" t="n">
        <v>1</v>
      </c>
      <c r="B5" s="4" t="n">
        <f aca="false">IF(A5=0,0,가정!$B$5+가정!$B$6*(A5-1))</f>
        <v>25</v>
      </c>
      <c r="C5" s="4" t="n">
        <f aca="false">C4+B5</f>
        <v>25</v>
      </c>
      <c r="D5" s="12" t="n">
        <f aca="false">A5*가정!$B$7</f>
        <v>0.01</v>
      </c>
      <c r="E5" s="4" t="n">
        <f aca="false">1+IF(A5&gt;=가정!$B$8,1,0)+IF(A5&gt;=가정!$B$9,1,0)+IF(A5&gt;=가정!$B$10,1,0)</f>
        <v>1</v>
      </c>
      <c r="F5" s="4" t="n">
        <f aca="false">6+IF(A5&gt;=가정!$B$11,1,0)+IF(A5&gt;=가정!$B$12,1,0)</f>
        <v>6</v>
      </c>
      <c r="G5" s="6"/>
    </row>
    <row r="6" customFormat="false" ht="15" hidden="false" customHeight="false" outlineLevel="0" collapsed="false">
      <c r="A6" s="4" t="n">
        <v>2</v>
      </c>
      <c r="B6" s="4" t="n">
        <f aca="false">IF(A6=0,0,가정!$B$5+가정!$B$6*(A6-1))</f>
        <v>33</v>
      </c>
      <c r="C6" s="4" t="n">
        <f aca="false">C5+B6</f>
        <v>58</v>
      </c>
      <c r="D6" s="12" t="n">
        <f aca="false">A6*가정!$B$7</f>
        <v>0.02</v>
      </c>
      <c r="E6" s="4" t="n">
        <f aca="false">1+IF(A6&gt;=가정!$B$8,1,0)+IF(A6&gt;=가정!$B$9,1,0)+IF(A6&gt;=가정!$B$10,1,0)</f>
        <v>1</v>
      </c>
      <c r="F6" s="4" t="n">
        <f aca="false">6+IF(A6&gt;=가정!$B$11,1,0)+IF(A6&gt;=가정!$B$12,1,0)</f>
        <v>6</v>
      </c>
      <c r="G6" s="6"/>
    </row>
    <row r="7" customFormat="false" ht="15" hidden="false" customHeight="false" outlineLevel="0" collapsed="false">
      <c r="A7" s="4" t="n">
        <v>3</v>
      </c>
      <c r="B7" s="4" t="n">
        <f aca="false">IF(A7=0,0,가정!$B$5+가정!$B$6*(A7-1))</f>
        <v>41</v>
      </c>
      <c r="C7" s="4" t="n">
        <f aca="false">C6+B7</f>
        <v>99</v>
      </c>
      <c r="D7" s="12" t="n">
        <f aca="false">A7*가정!$B$7</f>
        <v>0.03</v>
      </c>
      <c r="E7" s="4" t="n">
        <f aca="false">1+IF(A7&gt;=가정!$B$8,1,0)+IF(A7&gt;=가정!$B$9,1,0)+IF(A7&gt;=가정!$B$10,1,0)</f>
        <v>1</v>
      </c>
      <c r="F7" s="4" t="n">
        <f aca="false">6+IF(A7&gt;=가정!$B$11,1,0)+IF(A7&gt;=가정!$B$12,1,0)</f>
        <v>6</v>
      </c>
      <c r="G7" s="6"/>
    </row>
    <row r="8" customFormat="false" ht="15" hidden="false" customHeight="false" outlineLevel="0" collapsed="false">
      <c r="A8" s="4" t="n">
        <v>4</v>
      </c>
      <c r="B8" s="4" t="n">
        <f aca="false">IF(A8=0,0,가정!$B$5+가정!$B$6*(A8-1))</f>
        <v>49</v>
      </c>
      <c r="C8" s="4" t="n">
        <f aca="false">C7+B8</f>
        <v>148</v>
      </c>
      <c r="D8" s="12" t="n">
        <f aca="false">A8*가정!$B$7</f>
        <v>0.04</v>
      </c>
      <c r="E8" s="4" t="n">
        <f aca="false">1+IF(A8&gt;=가정!$B$8,1,0)+IF(A8&gt;=가정!$B$9,1,0)+IF(A8&gt;=가정!$B$10,1,0)</f>
        <v>1</v>
      </c>
      <c r="F8" s="4" t="n">
        <f aca="false">6+IF(A8&gt;=가정!$B$11,1,0)+IF(A8&gt;=가정!$B$12,1,0)</f>
        <v>6</v>
      </c>
      <c r="G8" s="6"/>
    </row>
    <row r="9" customFormat="false" ht="15" hidden="false" customHeight="false" outlineLevel="0" collapsed="false">
      <c r="A9" s="4" t="n">
        <v>5</v>
      </c>
      <c r="B9" s="4" t="n">
        <f aca="false">IF(A9=0,0,가정!$B$5+가정!$B$6*(A9-1))</f>
        <v>57</v>
      </c>
      <c r="C9" s="4" t="n">
        <f aca="false">C8+B9</f>
        <v>205</v>
      </c>
      <c r="D9" s="12" t="n">
        <f aca="false">A9*가정!$B$7</f>
        <v>0.05</v>
      </c>
      <c r="E9" s="4" t="n">
        <f aca="false">1+IF(A9&gt;=가정!$B$8,1,0)+IF(A9&gt;=가정!$B$9,1,0)+IF(A9&gt;=가정!$B$10,1,0)</f>
        <v>2</v>
      </c>
      <c r="F9" s="4" t="n">
        <f aca="false">6+IF(A9&gt;=가정!$B$11,1,0)+IF(A9&gt;=가정!$B$12,1,0)</f>
        <v>6</v>
      </c>
      <c r="G9" s="6" t="s">
        <v>58</v>
      </c>
    </row>
    <row r="10" customFormat="false" ht="15" hidden="false" customHeight="false" outlineLevel="0" collapsed="false">
      <c r="A10" s="4" t="n">
        <v>6</v>
      </c>
      <c r="B10" s="4" t="n">
        <f aca="false">IF(A10=0,0,가정!$B$5+가정!$B$6*(A10-1))</f>
        <v>65</v>
      </c>
      <c r="C10" s="4" t="n">
        <f aca="false">C9+B10</f>
        <v>270</v>
      </c>
      <c r="D10" s="12" t="n">
        <f aca="false">A10*가정!$B$7</f>
        <v>0.06</v>
      </c>
      <c r="E10" s="4" t="n">
        <f aca="false">1+IF(A10&gt;=가정!$B$8,1,0)+IF(A10&gt;=가정!$B$9,1,0)+IF(A10&gt;=가정!$B$10,1,0)</f>
        <v>2</v>
      </c>
      <c r="F10" s="4" t="n">
        <f aca="false">6+IF(A10&gt;=가정!$B$11,1,0)+IF(A10&gt;=가정!$B$12,1,0)</f>
        <v>6</v>
      </c>
      <c r="G10" s="6"/>
    </row>
    <row r="11" customFormat="false" ht="15" hidden="false" customHeight="false" outlineLevel="0" collapsed="false">
      <c r="A11" s="4" t="n">
        <v>7</v>
      </c>
      <c r="B11" s="4" t="n">
        <f aca="false">IF(A11=0,0,가정!$B$5+가정!$B$6*(A11-1))</f>
        <v>73</v>
      </c>
      <c r="C11" s="4" t="n">
        <f aca="false">C10+B11</f>
        <v>343</v>
      </c>
      <c r="D11" s="12" t="n">
        <f aca="false">A11*가정!$B$7</f>
        <v>0.07</v>
      </c>
      <c r="E11" s="4" t="n">
        <f aca="false">1+IF(A11&gt;=가정!$B$8,1,0)+IF(A11&gt;=가정!$B$9,1,0)+IF(A11&gt;=가정!$B$10,1,0)</f>
        <v>2</v>
      </c>
      <c r="F11" s="4" t="n">
        <f aca="false">6+IF(A11&gt;=가정!$B$11,1,0)+IF(A11&gt;=가정!$B$12,1,0)</f>
        <v>6</v>
      </c>
      <c r="G11" s="6"/>
    </row>
    <row r="12" customFormat="false" ht="15" hidden="false" customHeight="false" outlineLevel="0" collapsed="false">
      <c r="A12" s="4" t="n">
        <v>8</v>
      </c>
      <c r="B12" s="4" t="n">
        <f aca="false">IF(A12=0,0,가정!$B$5+가정!$B$6*(A12-1))</f>
        <v>81</v>
      </c>
      <c r="C12" s="4" t="n">
        <f aca="false">C11+B12</f>
        <v>424</v>
      </c>
      <c r="D12" s="12" t="n">
        <f aca="false">A12*가정!$B$7</f>
        <v>0.08</v>
      </c>
      <c r="E12" s="4" t="n">
        <f aca="false">1+IF(A12&gt;=가정!$B$8,1,0)+IF(A12&gt;=가정!$B$9,1,0)+IF(A12&gt;=가정!$B$10,1,0)</f>
        <v>2</v>
      </c>
      <c r="F12" s="4" t="n">
        <f aca="false">6+IF(A12&gt;=가정!$B$11,1,0)+IF(A12&gt;=가정!$B$12,1,0)</f>
        <v>6</v>
      </c>
      <c r="G12" s="6"/>
    </row>
    <row r="13" customFormat="false" ht="15" hidden="false" customHeight="false" outlineLevel="0" collapsed="false">
      <c r="A13" s="4" t="n">
        <v>9</v>
      </c>
      <c r="B13" s="4" t="n">
        <f aca="false">IF(A13=0,0,가정!$B$5+가정!$B$6*(A13-1))</f>
        <v>89</v>
      </c>
      <c r="C13" s="4" t="n">
        <f aca="false">C12+B13</f>
        <v>513</v>
      </c>
      <c r="D13" s="12" t="n">
        <f aca="false">A13*가정!$B$7</f>
        <v>0.09</v>
      </c>
      <c r="E13" s="4" t="n">
        <f aca="false">1+IF(A13&gt;=가정!$B$8,1,0)+IF(A13&gt;=가정!$B$9,1,0)+IF(A13&gt;=가정!$B$10,1,0)</f>
        <v>2</v>
      </c>
      <c r="F13" s="4" t="n">
        <f aca="false">6+IF(A13&gt;=가정!$B$11,1,0)+IF(A13&gt;=가정!$B$12,1,0)</f>
        <v>6</v>
      </c>
      <c r="G13" s="6"/>
    </row>
    <row r="14" customFormat="false" ht="15" hidden="false" customHeight="false" outlineLevel="0" collapsed="false">
      <c r="A14" s="4" t="n">
        <v>10</v>
      </c>
      <c r="B14" s="4" t="n">
        <f aca="false">IF(A14=0,0,가정!$B$5+가정!$B$6*(A14-1))</f>
        <v>97</v>
      </c>
      <c r="C14" s="4" t="n">
        <f aca="false">C13+B14</f>
        <v>610</v>
      </c>
      <c r="D14" s="12" t="n">
        <f aca="false">A14*가정!$B$7</f>
        <v>0.1</v>
      </c>
      <c r="E14" s="4" t="n">
        <f aca="false">1+IF(A14&gt;=가정!$B$8,1,0)+IF(A14&gt;=가정!$B$9,1,0)+IF(A14&gt;=가정!$B$10,1,0)</f>
        <v>3</v>
      </c>
      <c r="F14" s="4" t="n">
        <f aca="false">6+IF(A14&gt;=가정!$B$11,1,0)+IF(A14&gt;=가정!$B$12,1,0)</f>
        <v>6</v>
      </c>
      <c r="G14" s="6" t="s">
        <v>59</v>
      </c>
    </row>
    <row r="15" customFormat="false" ht="15" hidden="false" customHeight="false" outlineLevel="0" collapsed="false">
      <c r="A15" s="4" t="n">
        <v>11</v>
      </c>
      <c r="B15" s="4" t="n">
        <f aca="false">IF(A15=0,0,가정!$B$5+가정!$B$6*(A15-1))</f>
        <v>105</v>
      </c>
      <c r="C15" s="4" t="n">
        <f aca="false">C14+B15</f>
        <v>715</v>
      </c>
      <c r="D15" s="12" t="n">
        <f aca="false">A15*가정!$B$7</f>
        <v>0.11</v>
      </c>
      <c r="E15" s="4" t="n">
        <f aca="false">1+IF(A15&gt;=가정!$B$8,1,0)+IF(A15&gt;=가정!$B$9,1,0)+IF(A15&gt;=가정!$B$10,1,0)</f>
        <v>3</v>
      </c>
      <c r="F15" s="4" t="n">
        <f aca="false">6+IF(A15&gt;=가정!$B$11,1,0)+IF(A15&gt;=가정!$B$12,1,0)</f>
        <v>6</v>
      </c>
      <c r="G15" s="6"/>
    </row>
    <row r="16" customFormat="false" ht="15" hidden="false" customHeight="false" outlineLevel="0" collapsed="false">
      <c r="A16" s="4" t="n">
        <v>12</v>
      </c>
      <c r="B16" s="4" t="n">
        <f aca="false">IF(A16=0,0,가정!$B$5+가정!$B$6*(A16-1))</f>
        <v>113</v>
      </c>
      <c r="C16" s="4" t="n">
        <f aca="false">C15+B16</f>
        <v>828</v>
      </c>
      <c r="D16" s="12" t="n">
        <f aca="false">A16*가정!$B$7</f>
        <v>0.12</v>
      </c>
      <c r="E16" s="4" t="n">
        <f aca="false">1+IF(A16&gt;=가정!$B$8,1,0)+IF(A16&gt;=가정!$B$9,1,0)+IF(A16&gt;=가정!$B$10,1,0)</f>
        <v>3</v>
      </c>
      <c r="F16" s="4" t="n">
        <f aca="false">6+IF(A16&gt;=가정!$B$11,1,0)+IF(A16&gt;=가정!$B$12,1,0)</f>
        <v>7</v>
      </c>
      <c r="G16" s="6" t="s">
        <v>60</v>
      </c>
    </row>
    <row r="17" customFormat="false" ht="15" hidden="false" customHeight="false" outlineLevel="0" collapsed="false">
      <c r="A17" s="4" t="n">
        <v>13</v>
      </c>
      <c r="B17" s="4" t="n">
        <f aca="false">IF(A17=0,0,가정!$B$5+가정!$B$6*(A17-1))</f>
        <v>121</v>
      </c>
      <c r="C17" s="4" t="n">
        <f aca="false">C16+B17</f>
        <v>949</v>
      </c>
      <c r="D17" s="12" t="n">
        <f aca="false">A17*가정!$B$7</f>
        <v>0.13</v>
      </c>
      <c r="E17" s="4" t="n">
        <f aca="false">1+IF(A17&gt;=가정!$B$8,1,0)+IF(A17&gt;=가정!$B$9,1,0)+IF(A17&gt;=가정!$B$10,1,0)</f>
        <v>3</v>
      </c>
      <c r="F17" s="4" t="n">
        <f aca="false">6+IF(A17&gt;=가정!$B$11,1,0)+IF(A17&gt;=가정!$B$12,1,0)</f>
        <v>7</v>
      </c>
      <c r="G17" s="6"/>
    </row>
    <row r="18" customFormat="false" ht="15" hidden="false" customHeight="false" outlineLevel="0" collapsed="false">
      <c r="A18" s="4" t="n">
        <v>14</v>
      </c>
      <c r="B18" s="4" t="n">
        <f aca="false">IF(A18=0,0,가정!$B$5+가정!$B$6*(A18-1))</f>
        <v>129</v>
      </c>
      <c r="C18" s="4" t="n">
        <f aca="false">C17+B18</f>
        <v>1078</v>
      </c>
      <c r="D18" s="12" t="n">
        <f aca="false">A18*가정!$B$7</f>
        <v>0.14</v>
      </c>
      <c r="E18" s="4" t="n">
        <f aca="false">1+IF(A18&gt;=가정!$B$8,1,0)+IF(A18&gt;=가정!$B$9,1,0)+IF(A18&gt;=가정!$B$10,1,0)</f>
        <v>3</v>
      </c>
      <c r="F18" s="4" t="n">
        <f aca="false">6+IF(A18&gt;=가정!$B$11,1,0)+IF(A18&gt;=가정!$B$12,1,0)</f>
        <v>7</v>
      </c>
      <c r="G18" s="6"/>
    </row>
    <row r="19" customFormat="false" ht="15" hidden="false" customHeight="false" outlineLevel="0" collapsed="false">
      <c r="A19" s="4" t="n">
        <v>15</v>
      </c>
      <c r="B19" s="4" t="n">
        <f aca="false">IF(A19=0,0,가정!$B$5+가정!$B$6*(A19-1))</f>
        <v>137</v>
      </c>
      <c r="C19" s="4" t="n">
        <f aca="false">C18+B19</f>
        <v>1215</v>
      </c>
      <c r="D19" s="12" t="n">
        <f aca="false">A19*가정!$B$7</f>
        <v>0.15</v>
      </c>
      <c r="E19" s="4" t="n">
        <f aca="false">1+IF(A19&gt;=가정!$B$8,1,0)+IF(A19&gt;=가정!$B$9,1,0)+IF(A19&gt;=가정!$B$10,1,0)</f>
        <v>3</v>
      </c>
      <c r="F19" s="4" t="n">
        <f aca="false">6+IF(A19&gt;=가정!$B$11,1,0)+IF(A19&gt;=가정!$B$12,1,0)</f>
        <v>7</v>
      </c>
      <c r="G19" s="6"/>
    </row>
    <row r="20" customFormat="false" ht="15" hidden="false" customHeight="false" outlineLevel="0" collapsed="false">
      <c r="A20" s="4" t="n">
        <v>16</v>
      </c>
      <c r="B20" s="4" t="n">
        <f aca="false">IF(A20=0,0,가정!$B$5+가정!$B$6*(A20-1))</f>
        <v>145</v>
      </c>
      <c r="C20" s="4" t="n">
        <f aca="false">C19+B20</f>
        <v>1360</v>
      </c>
      <c r="D20" s="12" t="n">
        <f aca="false">A20*가정!$B$7</f>
        <v>0.16</v>
      </c>
      <c r="E20" s="4" t="n">
        <f aca="false">1+IF(A20&gt;=가정!$B$8,1,0)+IF(A20&gt;=가정!$B$9,1,0)+IF(A20&gt;=가정!$B$10,1,0)</f>
        <v>3</v>
      </c>
      <c r="F20" s="4" t="n">
        <f aca="false">6+IF(A20&gt;=가정!$B$11,1,0)+IF(A20&gt;=가정!$B$12,1,0)</f>
        <v>7</v>
      </c>
      <c r="G20" s="6"/>
    </row>
    <row r="21" customFormat="false" ht="15" hidden="false" customHeight="false" outlineLevel="0" collapsed="false">
      <c r="A21" s="4" t="n">
        <v>17</v>
      </c>
      <c r="B21" s="4" t="n">
        <f aca="false">IF(A21=0,0,가정!$B$5+가정!$B$6*(A21-1))</f>
        <v>153</v>
      </c>
      <c r="C21" s="4" t="n">
        <f aca="false">C20+B21</f>
        <v>1513</v>
      </c>
      <c r="D21" s="12" t="n">
        <f aca="false">A21*가정!$B$7</f>
        <v>0.17</v>
      </c>
      <c r="E21" s="4" t="n">
        <f aca="false">1+IF(A21&gt;=가정!$B$8,1,0)+IF(A21&gt;=가정!$B$9,1,0)+IF(A21&gt;=가정!$B$10,1,0)</f>
        <v>3</v>
      </c>
      <c r="F21" s="4" t="n">
        <f aca="false">6+IF(A21&gt;=가정!$B$11,1,0)+IF(A21&gt;=가정!$B$12,1,0)</f>
        <v>7</v>
      </c>
      <c r="G21" s="6"/>
    </row>
    <row r="22" customFormat="false" ht="15" hidden="false" customHeight="false" outlineLevel="0" collapsed="false">
      <c r="A22" s="4" t="n">
        <v>18</v>
      </c>
      <c r="B22" s="4" t="n">
        <f aca="false">IF(A22=0,0,가정!$B$5+가정!$B$6*(A22-1))</f>
        <v>161</v>
      </c>
      <c r="C22" s="4" t="n">
        <f aca="false">C21+B22</f>
        <v>1674</v>
      </c>
      <c r="D22" s="12" t="n">
        <f aca="false">A22*가정!$B$7</f>
        <v>0.18</v>
      </c>
      <c r="E22" s="4" t="n">
        <f aca="false">1+IF(A22&gt;=가정!$B$8,1,0)+IF(A22&gt;=가정!$B$9,1,0)+IF(A22&gt;=가정!$B$10,1,0)</f>
        <v>4</v>
      </c>
      <c r="F22" s="4" t="n">
        <f aca="false">6+IF(A22&gt;=가정!$B$11,1,0)+IF(A22&gt;=가정!$B$12,1,0)</f>
        <v>7</v>
      </c>
      <c r="G22" s="6" t="s">
        <v>61</v>
      </c>
    </row>
    <row r="23" customFormat="false" ht="15" hidden="false" customHeight="false" outlineLevel="0" collapsed="false">
      <c r="A23" s="4" t="n">
        <v>19</v>
      </c>
      <c r="B23" s="4" t="n">
        <f aca="false">IF(A23=0,0,가정!$B$5+가정!$B$6*(A23-1))</f>
        <v>169</v>
      </c>
      <c r="C23" s="4" t="n">
        <f aca="false">C22+B23</f>
        <v>1843</v>
      </c>
      <c r="D23" s="12" t="n">
        <f aca="false">A23*가정!$B$7</f>
        <v>0.19</v>
      </c>
      <c r="E23" s="4" t="n">
        <f aca="false">1+IF(A23&gt;=가정!$B$8,1,0)+IF(A23&gt;=가정!$B$9,1,0)+IF(A23&gt;=가정!$B$10,1,0)</f>
        <v>4</v>
      </c>
      <c r="F23" s="4" t="n">
        <f aca="false">6+IF(A23&gt;=가정!$B$11,1,0)+IF(A23&gt;=가정!$B$12,1,0)</f>
        <v>7</v>
      </c>
      <c r="G23" s="6"/>
    </row>
    <row r="24" customFormat="false" ht="15" hidden="false" customHeight="false" outlineLevel="0" collapsed="false">
      <c r="A24" s="4" t="n">
        <v>20</v>
      </c>
      <c r="B24" s="4" t="n">
        <f aca="false">IF(A24=0,0,가정!$B$5+가정!$B$6*(A24-1))</f>
        <v>177</v>
      </c>
      <c r="C24" s="4" t="n">
        <f aca="false">C23+B24</f>
        <v>2020</v>
      </c>
      <c r="D24" s="12" t="n">
        <f aca="false">A24*가정!$B$7</f>
        <v>0.2</v>
      </c>
      <c r="E24" s="4" t="n">
        <f aca="false">1+IF(A24&gt;=가정!$B$8,1,0)+IF(A24&gt;=가정!$B$9,1,0)+IF(A24&gt;=가정!$B$10,1,0)</f>
        <v>4</v>
      </c>
      <c r="F24" s="4" t="n">
        <f aca="false">6+IF(A24&gt;=가정!$B$11,1,0)+IF(A24&gt;=가정!$B$12,1,0)</f>
        <v>7</v>
      </c>
      <c r="G24" s="6"/>
    </row>
    <row r="25" customFormat="false" ht="15" hidden="false" customHeight="false" outlineLevel="0" collapsed="false">
      <c r="A25" s="4" t="n">
        <v>21</v>
      </c>
      <c r="B25" s="4" t="n">
        <f aca="false">IF(A25=0,0,가정!$B$5+가정!$B$6*(A25-1))</f>
        <v>185</v>
      </c>
      <c r="C25" s="4" t="n">
        <f aca="false">C24+B25</f>
        <v>2205</v>
      </c>
      <c r="D25" s="12" t="n">
        <f aca="false">A25*가정!$B$7</f>
        <v>0.21</v>
      </c>
      <c r="E25" s="4" t="n">
        <f aca="false">1+IF(A25&gt;=가정!$B$8,1,0)+IF(A25&gt;=가정!$B$9,1,0)+IF(A25&gt;=가정!$B$10,1,0)</f>
        <v>4</v>
      </c>
      <c r="F25" s="4" t="n">
        <f aca="false">6+IF(A25&gt;=가정!$B$11,1,0)+IF(A25&gt;=가정!$B$12,1,0)</f>
        <v>7</v>
      </c>
      <c r="G25" s="6"/>
    </row>
    <row r="26" customFormat="false" ht="15" hidden="false" customHeight="false" outlineLevel="0" collapsed="false">
      <c r="A26" s="4" t="n">
        <v>22</v>
      </c>
      <c r="B26" s="4" t="n">
        <f aca="false">IF(A26=0,0,가정!$B$5+가정!$B$6*(A26-1))</f>
        <v>193</v>
      </c>
      <c r="C26" s="4" t="n">
        <f aca="false">C25+B26</f>
        <v>2398</v>
      </c>
      <c r="D26" s="12" t="n">
        <f aca="false">A26*가정!$B$7</f>
        <v>0.22</v>
      </c>
      <c r="E26" s="4" t="n">
        <f aca="false">1+IF(A26&gt;=가정!$B$8,1,0)+IF(A26&gt;=가정!$B$9,1,0)+IF(A26&gt;=가정!$B$10,1,0)</f>
        <v>4</v>
      </c>
      <c r="F26" s="4" t="n">
        <f aca="false">6+IF(A26&gt;=가정!$B$11,1,0)+IF(A26&gt;=가정!$B$12,1,0)</f>
        <v>7</v>
      </c>
      <c r="G26" s="6"/>
    </row>
    <row r="27" customFormat="false" ht="15" hidden="false" customHeight="false" outlineLevel="0" collapsed="false">
      <c r="A27" s="4" t="n">
        <v>23</v>
      </c>
      <c r="B27" s="4" t="n">
        <f aca="false">IF(A27=0,0,가정!$B$5+가정!$B$6*(A27-1))</f>
        <v>201</v>
      </c>
      <c r="C27" s="4" t="n">
        <f aca="false">C26+B27</f>
        <v>2599</v>
      </c>
      <c r="D27" s="12" t="n">
        <f aca="false">A27*가정!$B$7</f>
        <v>0.23</v>
      </c>
      <c r="E27" s="4" t="n">
        <f aca="false">1+IF(A27&gt;=가정!$B$8,1,0)+IF(A27&gt;=가정!$B$9,1,0)+IF(A27&gt;=가정!$B$10,1,0)</f>
        <v>4</v>
      </c>
      <c r="F27" s="4" t="n">
        <f aca="false">6+IF(A27&gt;=가정!$B$11,1,0)+IF(A27&gt;=가정!$B$12,1,0)</f>
        <v>7</v>
      </c>
      <c r="G27" s="6"/>
    </row>
    <row r="28" customFormat="false" ht="15" hidden="false" customHeight="false" outlineLevel="0" collapsed="false">
      <c r="A28" s="4" t="n">
        <v>24</v>
      </c>
      <c r="B28" s="4" t="n">
        <f aca="false">IF(A28=0,0,가정!$B$5+가정!$B$6*(A28-1))</f>
        <v>209</v>
      </c>
      <c r="C28" s="4" t="n">
        <f aca="false">C27+B28</f>
        <v>2808</v>
      </c>
      <c r="D28" s="12" t="n">
        <f aca="false">A28*가정!$B$7</f>
        <v>0.24</v>
      </c>
      <c r="E28" s="4" t="n">
        <f aca="false">1+IF(A28&gt;=가정!$B$8,1,0)+IF(A28&gt;=가정!$B$9,1,0)+IF(A28&gt;=가정!$B$10,1,0)</f>
        <v>4</v>
      </c>
      <c r="F28" s="4" t="n">
        <f aca="false">6+IF(A28&gt;=가정!$B$11,1,0)+IF(A28&gt;=가정!$B$12,1,0)</f>
        <v>8</v>
      </c>
      <c r="G28" s="6" t="s">
        <v>62</v>
      </c>
    </row>
    <row r="29" customFormat="false" ht="15" hidden="false" customHeight="false" outlineLevel="0" collapsed="false">
      <c r="A29" s="4" t="n">
        <v>25</v>
      </c>
      <c r="B29" s="4" t="n">
        <f aca="false">IF(A29=0,0,가정!$B$5+가정!$B$6*(A29-1))</f>
        <v>217</v>
      </c>
      <c r="C29" s="4" t="n">
        <f aca="false">C28+B29</f>
        <v>3025</v>
      </c>
      <c r="D29" s="12" t="n">
        <f aca="false">A29*가정!$B$7</f>
        <v>0.25</v>
      </c>
      <c r="E29" s="4" t="n">
        <f aca="false">1+IF(A29&gt;=가정!$B$8,1,0)+IF(A29&gt;=가정!$B$9,1,0)+IF(A29&gt;=가정!$B$10,1,0)</f>
        <v>4</v>
      </c>
      <c r="F29" s="4" t="n">
        <f aca="false">6+IF(A29&gt;=가정!$B$11,1,0)+IF(A29&gt;=가정!$B$12,1,0)</f>
        <v>8</v>
      </c>
      <c r="G29" s="6"/>
    </row>
    <row r="30" customFormat="false" ht="15" hidden="false" customHeight="false" outlineLevel="0" collapsed="false">
      <c r="A30" s="4" t="n">
        <v>26</v>
      </c>
      <c r="B30" s="4" t="n">
        <f aca="false">IF(A30=0,0,가정!$B$5+가정!$B$6*(A30-1))</f>
        <v>225</v>
      </c>
      <c r="C30" s="4" t="n">
        <f aca="false">C29+B30</f>
        <v>3250</v>
      </c>
      <c r="D30" s="12" t="n">
        <f aca="false">A30*가정!$B$7</f>
        <v>0.26</v>
      </c>
      <c r="E30" s="4" t="n">
        <f aca="false">1+IF(A30&gt;=가정!$B$8,1,0)+IF(A30&gt;=가정!$B$9,1,0)+IF(A30&gt;=가정!$B$10,1,0)</f>
        <v>4</v>
      </c>
      <c r="F30" s="4" t="n">
        <f aca="false">6+IF(A30&gt;=가정!$B$11,1,0)+IF(A30&gt;=가정!$B$12,1,0)</f>
        <v>8</v>
      </c>
      <c r="G30" s="6"/>
    </row>
    <row r="31" customFormat="false" ht="15" hidden="false" customHeight="false" outlineLevel="0" collapsed="false">
      <c r="A31" s="4" t="n">
        <v>27</v>
      </c>
      <c r="B31" s="4" t="n">
        <f aca="false">IF(A31=0,0,가정!$B$5+가정!$B$6*(A31-1))</f>
        <v>233</v>
      </c>
      <c r="C31" s="4" t="n">
        <f aca="false">C30+B31</f>
        <v>3483</v>
      </c>
      <c r="D31" s="12" t="n">
        <f aca="false">A31*가정!$B$7</f>
        <v>0.27</v>
      </c>
      <c r="E31" s="4" t="n">
        <f aca="false">1+IF(A31&gt;=가정!$B$8,1,0)+IF(A31&gt;=가정!$B$9,1,0)+IF(A31&gt;=가정!$B$10,1,0)</f>
        <v>4</v>
      </c>
      <c r="F31" s="4" t="n">
        <f aca="false">6+IF(A31&gt;=가정!$B$11,1,0)+IF(A31&gt;=가정!$B$12,1,0)</f>
        <v>8</v>
      </c>
      <c r="G31" s="6"/>
    </row>
    <row r="32" customFormat="false" ht="15" hidden="false" customHeight="false" outlineLevel="0" collapsed="false">
      <c r="A32" s="4" t="n">
        <v>28</v>
      </c>
      <c r="B32" s="4" t="n">
        <f aca="false">IF(A32=0,0,가정!$B$5+가정!$B$6*(A32-1))</f>
        <v>241</v>
      </c>
      <c r="C32" s="4" t="n">
        <f aca="false">C31+B32</f>
        <v>3724</v>
      </c>
      <c r="D32" s="12" t="n">
        <f aca="false">A32*가정!$B$7</f>
        <v>0.28</v>
      </c>
      <c r="E32" s="4" t="n">
        <f aca="false">1+IF(A32&gt;=가정!$B$8,1,0)+IF(A32&gt;=가정!$B$9,1,0)+IF(A32&gt;=가정!$B$10,1,0)</f>
        <v>4</v>
      </c>
      <c r="F32" s="4" t="n">
        <f aca="false">6+IF(A32&gt;=가정!$B$11,1,0)+IF(A32&gt;=가정!$B$12,1,0)</f>
        <v>8</v>
      </c>
      <c r="G32" s="6"/>
    </row>
    <row r="33" customFormat="false" ht="15" hidden="false" customHeight="false" outlineLevel="0" collapsed="false">
      <c r="A33" s="4" t="n">
        <v>29</v>
      </c>
      <c r="B33" s="4" t="n">
        <f aca="false">IF(A33=0,0,가정!$B$5+가정!$B$6*(A33-1))</f>
        <v>249</v>
      </c>
      <c r="C33" s="4" t="n">
        <f aca="false">C32+B33</f>
        <v>3973</v>
      </c>
      <c r="D33" s="12" t="n">
        <f aca="false">A33*가정!$B$7</f>
        <v>0.29</v>
      </c>
      <c r="E33" s="4" t="n">
        <f aca="false">1+IF(A33&gt;=가정!$B$8,1,0)+IF(A33&gt;=가정!$B$9,1,0)+IF(A33&gt;=가정!$B$10,1,0)</f>
        <v>4</v>
      </c>
      <c r="F33" s="4" t="n">
        <f aca="false">6+IF(A33&gt;=가정!$B$11,1,0)+IF(A33&gt;=가정!$B$12,1,0)</f>
        <v>8</v>
      </c>
      <c r="G33" s="6"/>
    </row>
    <row r="34" customFormat="false" ht="15" hidden="false" customHeight="false" outlineLevel="0" collapsed="false">
      <c r="A34" s="4" t="n">
        <v>30</v>
      </c>
      <c r="B34" s="4" t="n">
        <f aca="false">IF(A34=0,0,가정!$B$5+가정!$B$6*(A34-1))</f>
        <v>257</v>
      </c>
      <c r="C34" s="4" t="n">
        <f aca="false">C33+B34</f>
        <v>4230</v>
      </c>
      <c r="D34" s="12" t="n">
        <f aca="false">A34*가정!$B$7</f>
        <v>0.3</v>
      </c>
      <c r="E34" s="4" t="n">
        <f aca="false">1+IF(A34&gt;=가정!$B$8,1,0)+IF(A34&gt;=가정!$B$9,1,0)+IF(A34&gt;=가정!$B$10,1,0)</f>
        <v>4</v>
      </c>
      <c r="F34" s="4" t="n">
        <f aca="false">6+IF(A34&gt;=가정!$B$11,1,0)+IF(A34&gt;=가정!$B$12,1,0)</f>
        <v>8</v>
      </c>
      <c r="G34" s="6" t="s">
        <v>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4" min="2" style="0" width="9"/>
    <col collapsed="false" customWidth="true" hidden="false" outlineLevel="0" max="5" min="5" style="0" width="11"/>
    <col collapsed="false" customWidth="true" hidden="false" outlineLevel="0" max="6" min="6" style="0" width="13"/>
    <col collapsed="false" customWidth="true" hidden="false" outlineLevel="0" max="7" min="7" style="0" width="10"/>
    <col collapsed="false" customWidth="true" hidden="false" outlineLevel="0" max="8" min="8" style="0" width="15"/>
    <col collapsed="false" customWidth="true" hidden="false" outlineLevel="0" max="9" min="9" style="0" width="13"/>
    <col collapsed="false" customWidth="true" hidden="false" outlineLevel="0" max="10" min="10" style="0" width="14"/>
    <col collapsed="false" customWidth="true" hidden="false" outlineLevel="0" max="11" min="11" style="0" width="10"/>
  </cols>
  <sheetData>
    <row r="1" customFormat="false" ht="19.4" hidden="false" customHeight="false" outlineLevel="0" collapsed="false">
      <c r="A1" s="9" t="s">
        <v>64</v>
      </c>
    </row>
    <row r="3" customFormat="false" ht="17.15" hidden="false" customHeight="false" outlineLevel="0" collapsed="false">
      <c r="A3" s="10" t="s">
        <v>65</v>
      </c>
      <c r="B3" s="10" t="s">
        <v>66</v>
      </c>
      <c r="C3" s="10" t="s">
        <v>53</v>
      </c>
      <c r="D3" s="10" t="s">
        <v>51</v>
      </c>
      <c r="E3" s="10" t="s">
        <v>54</v>
      </c>
      <c r="F3" s="10" t="s">
        <v>56</v>
      </c>
      <c r="G3" s="10" t="s">
        <v>67</v>
      </c>
      <c r="H3" s="10" t="s">
        <v>68</v>
      </c>
      <c r="I3" s="10" t="s">
        <v>69</v>
      </c>
      <c r="J3" s="10" t="s">
        <v>70</v>
      </c>
      <c r="K3" s="10" t="s">
        <v>71</v>
      </c>
    </row>
    <row r="4" customFormat="false" ht="15" hidden="false" customHeight="false" outlineLevel="0" collapsed="false">
      <c r="A4" s="4" t="n">
        <v>1</v>
      </c>
      <c r="B4" s="4" t="n">
        <f aca="false">IF(A4&lt;=10,가정!$B$15,IF(A4&lt;=25,가정!$B$16,가정!$B$17))</f>
        <v>60</v>
      </c>
      <c r="C4" s="4" t="n">
        <f aca="false">B4</f>
        <v>60</v>
      </c>
      <c r="D4" s="4" t="n">
        <f aca="false">INDEX(장삼계승!$A$4:$A$34,MATCH(C4,장삼계승!$C$4:$C$34,1))</f>
        <v>2</v>
      </c>
      <c r="E4" s="12" t="n">
        <f aca="false">D4*가정!$B$7</f>
        <v>0.02</v>
      </c>
      <c r="F4" s="4" t="n">
        <f aca="false">6+IF(D4&gt;=가정!$B$11,1,0)+IF(D4&gt;=가정!$B$12,1,0)</f>
        <v>6</v>
      </c>
      <c r="G4" s="13" t="n">
        <f aca="false">INDEX(경지체계!$C$4:$C$11,F4)</f>
        <v>2.25</v>
      </c>
      <c r="H4" s="14" t="n">
        <f aca="false">가정!$B$13*G4*(1+E4)</f>
        <v>229.5</v>
      </c>
      <c r="I4" s="15" t="n">
        <f aca="false">H4/(가정!$B$13*INDEX(경지체계!$C$4:$C$11,6))</f>
        <v>1.02</v>
      </c>
      <c r="J4" s="12" t="n">
        <f aca="false">(5*가정!$B$13*INDEX(경지체계!$C$4:$C$11,6)+H4)/(6*가정!$B$13*INDEX(경지체계!$C$4:$C$11,6))-1</f>
        <v>0.00333333333333341</v>
      </c>
      <c r="K4" s="4" t="str">
        <f aca="false">IF(J4&lt;=가정!$B$14,"PASS","FAIL")</f>
        <v>PASS</v>
      </c>
    </row>
    <row r="5" customFormat="false" ht="15" hidden="false" customHeight="false" outlineLevel="0" collapsed="false">
      <c r="A5" s="4" t="n">
        <v>2</v>
      </c>
      <c r="B5" s="4" t="n">
        <f aca="false">IF(A5&lt;=10,가정!$B$15,IF(A5&lt;=25,가정!$B$16,가정!$B$17))</f>
        <v>60</v>
      </c>
      <c r="C5" s="4" t="n">
        <f aca="false">C4+B5</f>
        <v>120</v>
      </c>
      <c r="D5" s="4" t="n">
        <f aca="false">INDEX(장삼계승!$A$4:$A$34,MATCH(C5,장삼계승!$C$4:$C$34,1))</f>
        <v>3</v>
      </c>
      <c r="E5" s="12" t="n">
        <f aca="false">D5*가정!$B$7</f>
        <v>0.03</v>
      </c>
      <c r="F5" s="4" t="n">
        <f aca="false">6+IF(D5&gt;=가정!$B$11,1,0)+IF(D5&gt;=가정!$B$12,1,0)</f>
        <v>6</v>
      </c>
      <c r="G5" s="13" t="n">
        <f aca="false">INDEX(경지체계!$C$4:$C$11,F5)</f>
        <v>2.25</v>
      </c>
      <c r="H5" s="14" t="n">
        <f aca="false">가정!$B$13*G5*(1+E5)</f>
        <v>231.75</v>
      </c>
      <c r="I5" s="15" t="n">
        <f aca="false">H5/(가정!$B$13*INDEX(경지체계!$C$4:$C$11,6))</f>
        <v>1.03</v>
      </c>
      <c r="J5" s="12" t="n">
        <f aca="false">(5*가정!$B$13*INDEX(경지체계!$C$4:$C$11,6)+H5)/(6*가정!$B$13*INDEX(경지체계!$C$4:$C$11,6))-1</f>
        <v>0.00499999999999989</v>
      </c>
      <c r="K5" s="4" t="str">
        <f aca="false">IF(J5&lt;=가정!$B$14,"PASS","FAIL")</f>
        <v>PASS</v>
      </c>
    </row>
    <row r="6" customFormat="false" ht="15" hidden="false" customHeight="false" outlineLevel="0" collapsed="false">
      <c r="A6" s="4" t="n">
        <v>3</v>
      </c>
      <c r="B6" s="4" t="n">
        <f aca="false">IF(A6&lt;=10,가정!$B$15,IF(A6&lt;=25,가정!$B$16,가정!$B$17))</f>
        <v>60</v>
      </c>
      <c r="C6" s="4" t="n">
        <f aca="false">C5+B6</f>
        <v>180</v>
      </c>
      <c r="D6" s="4" t="n">
        <f aca="false">INDEX(장삼계승!$A$4:$A$34,MATCH(C6,장삼계승!$C$4:$C$34,1))</f>
        <v>4</v>
      </c>
      <c r="E6" s="12" t="n">
        <f aca="false">D6*가정!$B$7</f>
        <v>0.04</v>
      </c>
      <c r="F6" s="4" t="n">
        <f aca="false">6+IF(D6&gt;=가정!$B$11,1,0)+IF(D6&gt;=가정!$B$12,1,0)</f>
        <v>6</v>
      </c>
      <c r="G6" s="13" t="n">
        <f aca="false">INDEX(경지체계!$C$4:$C$11,F6)</f>
        <v>2.25</v>
      </c>
      <c r="H6" s="14" t="n">
        <f aca="false">가정!$B$13*G6*(1+E6)</f>
        <v>234</v>
      </c>
      <c r="I6" s="15" t="n">
        <f aca="false">H6/(가정!$B$13*INDEX(경지체계!$C$4:$C$11,6))</f>
        <v>1.04</v>
      </c>
      <c r="J6" s="12" t="n">
        <f aca="false">(5*가정!$B$13*INDEX(경지체계!$C$4:$C$11,6)+H6)/(6*가정!$B$13*INDEX(경지체계!$C$4:$C$11,6))-1</f>
        <v>0.0066666666666666</v>
      </c>
      <c r="K6" s="4" t="str">
        <f aca="false">IF(J6&lt;=가정!$B$14,"PASS","FAIL")</f>
        <v>PASS</v>
      </c>
    </row>
    <row r="7" customFormat="false" ht="15" hidden="false" customHeight="false" outlineLevel="0" collapsed="false">
      <c r="A7" s="4" t="n">
        <v>4</v>
      </c>
      <c r="B7" s="4" t="n">
        <f aca="false">IF(A7&lt;=10,가정!$B$15,IF(A7&lt;=25,가정!$B$16,가정!$B$17))</f>
        <v>60</v>
      </c>
      <c r="C7" s="4" t="n">
        <f aca="false">C6+B7</f>
        <v>240</v>
      </c>
      <c r="D7" s="4" t="n">
        <f aca="false">INDEX(장삼계승!$A$4:$A$34,MATCH(C7,장삼계승!$C$4:$C$34,1))</f>
        <v>5</v>
      </c>
      <c r="E7" s="12" t="n">
        <f aca="false">D7*가정!$B$7</f>
        <v>0.05</v>
      </c>
      <c r="F7" s="4" t="n">
        <f aca="false">6+IF(D7&gt;=가정!$B$11,1,0)+IF(D7&gt;=가정!$B$12,1,0)</f>
        <v>6</v>
      </c>
      <c r="G7" s="13" t="n">
        <f aca="false">INDEX(경지체계!$C$4:$C$11,F7)</f>
        <v>2.25</v>
      </c>
      <c r="H7" s="14" t="n">
        <f aca="false">가정!$B$13*G7*(1+E7)</f>
        <v>236.25</v>
      </c>
      <c r="I7" s="15" t="n">
        <f aca="false">H7/(가정!$B$13*INDEX(경지체계!$C$4:$C$11,6))</f>
        <v>1.05</v>
      </c>
      <c r="J7" s="12" t="n">
        <f aca="false">(5*가정!$B$13*INDEX(경지체계!$C$4:$C$11,6)+H7)/(6*가정!$B$13*INDEX(경지체계!$C$4:$C$11,6))-1</f>
        <v>0.0083333333333333</v>
      </c>
      <c r="K7" s="4" t="str">
        <f aca="false">IF(J7&lt;=가정!$B$14,"PASS","FAIL")</f>
        <v>PASS</v>
      </c>
    </row>
    <row r="8" customFormat="false" ht="15" hidden="false" customHeight="false" outlineLevel="0" collapsed="false">
      <c r="A8" s="4" t="n">
        <v>5</v>
      </c>
      <c r="B8" s="4" t="n">
        <f aca="false">IF(A8&lt;=10,가정!$B$15,IF(A8&lt;=25,가정!$B$16,가정!$B$17))</f>
        <v>60</v>
      </c>
      <c r="C8" s="4" t="n">
        <f aca="false">C7+B8</f>
        <v>300</v>
      </c>
      <c r="D8" s="4" t="n">
        <f aca="false">INDEX(장삼계승!$A$4:$A$34,MATCH(C8,장삼계승!$C$4:$C$34,1))</f>
        <v>6</v>
      </c>
      <c r="E8" s="12" t="n">
        <f aca="false">D8*가정!$B$7</f>
        <v>0.06</v>
      </c>
      <c r="F8" s="4" t="n">
        <f aca="false">6+IF(D8&gt;=가정!$B$11,1,0)+IF(D8&gt;=가정!$B$12,1,0)</f>
        <v>6</v>
      </c>
      <c r="G8" s="13" t="n">
        <f aca="false">INDEX(경지체계!$C$4:$C$11,F8)</f>
        <v>2.25</v>
      </c>
      <c r="H8" s="14" t="n">
        <f aca="false">가정!$B$13*G8*(1+E8)</f>
        <v>238.5</v>
      </c>
      <c r="I8" s="15" t="n">
        <f aca="false">H8/(가정!$B$13*INDEX(경지체계!$C$4:$C$11,6))</f>
        <v>1.06</v>
      </c>
      <c r="J8" s="12" t="n">
        <f aca="false">(5*가정!$B$13*INDEX(경지체계!$C$4:$C$11,6)+H8)/(6*가정!$B$13*INDEX(경지체계!$C$4:$C$11,6))-1</f>
        <v>0.01</v>
      </c>
      <c r="K8" s="4" t="str">
        <f aca="false">IF(J8&lt;=가정!$B$14,"PASS","FAIL")</f>
        <v>PASS</v>
      </c>
    </row>
    <row r="9" customFormat="false" ht="15" hidden="false" customHeight="false" outlineLevel="0" collapsed="false">
      <c r="A9" s="4" t="n">
        <v>6</v>
      </c>
      <c r="B9" s="4" t="n">
        <f aca="false">IF(A9&lt;=10,가정!$B$15,IF(A9&lt;=25,가정!$B$16,가정!$B$17))</f>
        <v>60</v>
      </c>
      <c r="C9" s="4" t="n">
        <f aca="false">C8+B9</f>
        <v>360</v>
      </c>
      <c r="D9" s="4" t="n">
        <f aca="false">INDEX(장삼계승!$A$4:$A$34,MATCH(C9,장삼계승!$C$4:$C$34,1))</f>
        <v>7</v>
      </c>
      <c r="E9" s="12" t="n">
        <f aca="false">D9*가정!$B$7</f>
        <v>0.07</v>
      </c>
      <c r="F9" s="4" t="n">
        <f aca="false">6+IF(D9&gt;=가정!$B$11,1,0)+IF(D9&gt;=가정!$B$12,1,0)</f>
        <v>6</v>
      </c>
      <c r="G9" s="13" t="n">
        <f aca="false">INDEX(경지체계!$C$4:$C$11,F9)</f>
        <v>2.25</v>
      </c>
      <c r="H9" s="14" t="n">
        <f aca="false">가정!$B$13*G9*(1+E9)</f>
        <v>240.75</v>
      </c>
      <c r="I9" s="15" t="n">
        <f aca="false">H9/(가정!$B$13*INDEX(경지체계!$C$4:$C$11,6))</f>
        <v>1.07</v>
      </c>
      <c r="J9" s="12" t="n">
        <f aca="false">(5*가정!$B$13*INDEX(경지체계!$C$4:$C$11,6)+H9)/(6*가정!$B$13*INDEX(경지체계!$C$4:$C$11,6))-1</f>
        <v>0.0116666666666667</v>
      </c>
      <c r="K9" s="4" t="str">
        <f aca="false">IF(J9&lt;=가정!$B$14,"PASS","FAIL")</f>
        <v>PASS</v>
      </c>
    </row>
    <row r="10" customFormat="false" ht="15" hidden="false" customHeight="false" outlineLevel="0" collapsed="false">
      <c r="A10" s="4" t="n">
        <v>7</v>
      </c>
      <c r="B10" s="4" t="n">
        <f aca="false">IF(A10&lt;=10,가정!$B$15,IF(A10&lt;=25,가정!$B$16,가정!$B$17))</f>
        <v>60</v>
      </c>
      <c r="C10" s="4" t="n">
        <f aca="false">C9+B10</f>
        <v>420</v>
      </c>
      <c r="D10" s="4" t="n">
        <f aca="false">INDEX(장삼계승!$A$4:$A$34,MATCH(C10,장삼계승!$C$4:$C$34,1))</f>
        <v>7</v>
      </c>
      <c r="E10" s="12" t="n">
        <f aca="false">D10*가정!$B$7</f>
        <v>0.07</v>
      </c>
      <c r="F10" s="4" t="n">
        <f aca="false">6+IF(D10&gt;=가정!$B$11,1,0)+IF(D10&gt;=가정!$B$12,1,0)</f>
        <v>6</v>
      </c>
      <c r="G10" s="13" t="n">
        <f aca="false">INDEX(경지체계!$C$4:$C$11,F10)</f>
        <v>2.25</v>
      </c>
      <c r="H10" s="14" t="n">
        <f aca="false">가정!$B$13*G10*(1+E10)</f>
        <v>240.75</v>
      </c>
      <c r="I10" s="15" t="n">
        <f aca="false">H10/(가정!$B$13*INDEX(경지체계!$C$4:$C$11,6))</f>
        <v>1.07</v>
      </c>
      <c r="J10" s="12" t="n">
        <f aca="false">(5*가정!$B$13*INDEX(경지체계!$C$4:$C$11,6)+H10)/(6*가정!$B$13*INDEX(경지체계!$C$4:$C$11,6))-1</f>
        <v>0.0116666666666667</v>
      </c>
      <c r="K10" s="4" t="str">
        <f aca="false">IF(J10&lt;=가정!$B$14,"PASS","FAIL")</f>
        <v>PASS</v>
      </c>
    </row>
    <row r="11" customFormat="false" ht="15" hidden="false" customHeight="false" outlineLevel="0" collapsed="false">
      <c r="A11" s="4" t="n">
        <v>8</v>
      </c>
      <c r="B11" s="4" t="n">
        <f aca="false">IF(A11&lt;=10,가정!$B$15,IF(A11&lt;=25,가정!$B$16,가정!$B$17))</f>
        <v>60</v>
      </c>
      <c r="C11" s="4" t="n">
        <f aca="false">C10+B11</f>
        <v>480</v>
      </c>
      <c r="D11" s="4" t="n">
        <f aca="false">INDEX(장삼계승!$A$4:$A$34,MATCH(C11,장삼계승!$C$4:$C$34,1))</f>
        <v>8</v>
      </c>
      <c r="E11" s="12" t="n">
        <f aca="false">D11*가정!$B$7</f>
        <v>0.08</v>
      </c>
      <c r="F11" s="4" t="n">
        <f aca="false">6+IF(D11&gt;=가정!$B$11,1,0)+IF(D11&gt;=가정!$B$12,1,0)</f>
        <v>6</v>
      </c>
      <c r="G11" s="13" t="n">
        <f aca="false">INDEX(경지체계!$C$4:$C$11,F11)</f>
        <v>2.25</v>
      </c>
      <c r="H11" s="14" t="n">
        <f aca="false">가정!$B$13*G11*(1+E11)</f>
        <v>243</v>
      </c>
      <c r="I11" s="15" t="n">
        <f aca="false">H11/(가정!$B$13*INDEX(경지체계!$C$4:$C$11,6))</f>
        <v>1.08</v>
      </c>
      <c r="J11" s="12" t="n">
        <f aca="false">(5*가정!$B$13*INDEX(경지체계!$C$4:$C$11,6)+H11)/(6*가정!$B$13*INDEX(경지체계!$C$4:$C$11,6))-1</f>
        <v>0.0133333333333334</v>
      </c>
      <c r="K11" s="4" t="str">
        <f aca="false">IF(J11&lt;=가정!$B$14,"PASS","FAIL")</f>
        <v>PASS</v>
      </c>
    </row>
    <row r="12" customFormat="false" ht="15" hidden="false" customHeight="false" outlineLevel="0" collapsed="false">
      <c r="A12" s="4" t="n">
        <v>9</v>
      </c>
      <c r="B12" s="4" t="n">
        <f aca="false">IF(A12&lt;=10,가정!$B$15,IF(A12&lt;=25,가정!$B$16,가정!$B$17))</f>
        <v>60</v>
      </c>
      <c r="C12" s="4" t="n">
        <f aca="false">C11+B12</f>
        <v>540</v>
      </c>
      <c r="D12" s="4" t="n">
        <f aca="false">INDEX(장삼계승!$A$4:$A$34,MATCH(C12,장삼계승!$C$4:$C$34,1))</f>
        <v>9</v>
      </c>
      <c r="E12" s="12" t="n">
        <f aca="false">D12*가정!$B$7</f>
        <v>0.09</v>
      </c>
      <c r="F12" s="4" t="n">
        <f aca="false">6+IF(D12&gt;=가정!$B$11,1,0)+IF(D12&gt;=가정!$B$12,1,0)</f>
        <v>6</v>
      </c>
      <c r="G12" s="13" t="n">
        <f aca="false">INDEX(경지체계!$C$4:$C$11,F12)</f>
        <v>2.25</v>
      </c>
      <c r="H12" s="14" t="n">
        <f aca="false">가정!$B$13*G12*(1+E12)</f>
        <v>245.25</v>
      </c>
      <c r="I12" s="15" t="n">
        <f aca="false">H12/(가정!$B$13*INDEX(경지체계!$C$4:$C$11,6))</f>
        <v>1.09</v>
      </c>
      <c r="J12" s="12" t="n">
        <f aca="false">(5*가정!$B$13*INDEX(경지체계!$C$4:$C$11,6)+H12)/(6*가정!$B$13*INDEX(경지체계!$C$4:$C$11,6))-1</f>
        <v>0.0149999999999999</v>
      </c>
      <c r="K12" s="4" t="str">
        <f aca="false">IF(J12&lt;=가정!$B$14,"PASS","FAIL")</f>
        <v>PASS</v>
      </c>
    </row>
    <row r="13" customFormat="false" ht="15" hidden="false" customHeight="false" outlineLevel="0" collapsed="false">
      <c r="A13" s="4" t="n">
        <v>10</v>
      </c>
      <c r="B13" s="4" t="n">
        <f aca="false">IF(A13&lt;=10,가정!$B$15,IF(A13&lt;=25,가정!$B$16,가정!$B$17))</f>
        <v>60</v>
      </c>
      <c r="C13" s="4" t="n">
        <f aca="false">C12+B13</f>
        <v>600</v>
      </c>
      <c r="D13" s="4" t="n">
        <f aca="false">INDEX(장삼계승!$A$4:$A$34,MATCH(C13,장삼계승!$C$4:$C$34,1))</f>
        <v>9</v>
      </c>
      <c r="E13" s="12" t="n">
        <f aca="false">D13*가정!$B$7</f>
        <v>0.09</v>
      </c>
      <c r="F13" s="4" t="n">
        <f aca="false">6+IF(D13&gt;=가정!$B$11,1,0)+IF(D13&gt;=가정!$B$12,1,0)</f>
        <v>6</v>
      </c>
      <c r="G13" s="13" t="n">
        <f aca="false">INDEX(경지체계!$C$4:$C$11,F13)</f>
        <v>2.25</v>
      </c>
      <c r="H13" s="14" t="n">
        <f aca="false">가정!$B$13*G13*(1+E13)</f>
        <v>245.25</v>
      </c>
      <c r="I13" s="15" t="n">
        <f aca="false">H13/(가정!$B$13*INDEX(경지체계!$C$4:$C$11,6))</f>
        <v>1.09</v>
      </c>
      <c r="J13" s="12" t="n">
        <f aca="false">(5*가정!$B$13*INDEX(경지체계!$C$4:$C$11,6)+H13)/(6*가정!$B$13*INDEX(경지체계!$C$4:$C$11,6))-1</f>
        <v>0.0149999999999999</v>
      </c>
      <c r="K13" s="4" t="str">
        <f aca="false">IF(J13&lt;=가정!$B$14,"PASS","FAIL")</f>
        <v>PASS</v>
      </c>
    </row>
    <row r="14" customFormat="false" ht="15" hidden="false" customHeight="false" outlineLevel="0" collapsed="false">
      <c r="A14" s="4" t="n">
        <v>11</v>
      </c>
      <c r="B14" s="4" t="n">
        <f aca="false">IF(A14&lt;=10,가정!$B$15,IF(A14&lt;=25,가정!$B$16,가정!$B$17))</f>
        <v>100</v>
      </c>
      <c r="C14" s="4" t="n">
        <f aca="false">C13+B14</f>
        <v>700</v>
      </c>
      <c r="D14" s="4" t="n">
        <f aca="false">INDEX(장삼계승!$A$4:$A$34,MATCH(C14,장삼계승!$C$4:$C$34,1))</f>
        <v>10</v>
      </c>
      <c r="E14" s="12" t="n">
        <f aca="false">D14*가정!$B$7</f>
        <v>0.1</v>
      </c>
      <c r="F14" s="4" t="n">
        <f aca="false">6+IF(D14&gt;=가정!$B$11,1,0)+IF(D14&gt;=가정!$B$12,1,0)</f>
        <v>6</v>
      </c>
      <c r="G14" s="13" t="n">
        <f aca="false">INDEX(경지체계!$C$4:$C$11,F14)</f>
        <v>2.25</v>
      </c>
      <c r="H14" s="14" t="n">
        <f aca="false">가정!$B$13*G14*(1+E14)</f>
        <v>247.5</v>
      </c>
      <c r="I14" s="15" t="n">
        <f aca="false">H14/(가정!$B$13*INDEX(경지체계!$C$4:$C$11,6))</f>
        <v>1.1</v>
      </c>
      <c r="J14" s="12" t="n">
        <f aca="false">(5*가정!$B$13*INDEX(경지체계!$C$4:$C$11,6)+H14)/(6*가정!$B$13*INDEX(경지체계!$C$4:$C$11,6))-1</f>
        <v>0.0166666666666666</v>
      </c>
      <c r="K14" s="4" t="str">
        <f aca="false">IF(J14&lt;=가정!$B$14,"PASS","FAIL")</f>
        <v>PASS</v>
      </c>
    </row>
    <row r="15" customFormat="false" ht="15" hidden="false" customHeight="false" outlineLevel="0" collapsed="false">
      <c r="A15" s="4" t="n">
        <v>12</v>
      </c>
      <c r="B15" s="4" t="n">
        <f aca="false">IF(A15&lt;=10,가정!$B$15,IF(A15&lt;=25,가정!$B$16,가정!$B$17))</f>
        <v>100</v>
      </c>
      <c r="C15" s="4" t="n">
        <f aca="false">C14+B15</f>
        <v>800</v>
      </c>
      <c r="D15" s="4" t="n">
        <f aca="false">INDEX(장삼계승!$A$4:$A$34,MATCH(C15,장삼계승!$C$4:$C$34,1))</f>
        <v>11</v>
      </c>
      <c r="E15" s="12" t="n">
        <f aca="false">D15*가정!$B$7</f>
        <v>0.11</v>
      </c>
      <c r="F15" s="4" t="n">
        <f aca="false">6+IF(D15&gt;=가정!$B$11,1,0)+IF(D15&gt;=가정!$B$12,1,0)</f>
        <v>6</v>
      </c>
      <c r="G15" s="13" t="n">
        <f aca="false">INDEX(경지체계!$C$4:$C$11,F15)</f>
        <v>2.25</v>
      </c>
      <c r="H15" s="14" t="n">
        <f aca="false">가정!$B$13*G15*(1+E15)</f>
        <v>249.75</v>
      </c>
      <c r="I15" s="15" t="n">
        <f aca="false">H15/(가정!$B$13*INDEX(경지체계!$C$4:$C$11,6))</f>
        <v>1.11</v>
      </c>
      <c r="J15" s="12" t="n">
        <f aca="false">(5*가정!$B$13*INDEX(경지체계!$C$4:$C$11,6)+H15)/(6*가정!$B$13*INDEX(경지체계!$C$4:$C$11,6))-1</f>
        <v>0.0183333333333333</v>
      </c>
      <c r="K15" s="4" t="str">
        <f aca="false">IF(J15&lt;=가정!$B$14,"PASS","FAIL")</f>
        <v>PASS</v>
      </c>
    </row>
    <row r="16" customFormat="false" ht="15" hidden="false" customHeight="false" outlineLevel="0" collapsed="false">
      <c r="A16" s="4" t="n">
        <v>13</v>
      </c>
      <c r="B16" s="4" t="n">
        <f aca="false">IF(A16&lt;=10,가정!$B$15,IF(A16&lt;=25,가정!$B$16,가정!$B$17))</f>
        <v>100</v>
      </c>
      <c r="C16" s="4" t="n">
        <f aca="false">C15+B16</f>
        <v>900</v>
      </c>
      <c r="D16" s="4" t="n">
        <f aca="false">INDEX(장삼계승!$A$4:$A$34,MATCH(C16,장삼계승!$C$4:$C$34,1))</f>
        <v>12</v>
      </c>
      <c r="E16" s="12" t="n">
        <f aca="false">D16*가정!$B$7</f>
        <v>0.12</v>
      </c>
      <c r="F16" s="4" t="n">
        <f aca="false">6+IF(D16&gt;=가정!$B$11,1,0)+IF(D16&gt;=가정!$B$12,1,0)</f>
        <v>7</v>
      </c>
      <c r="G16" s="13" t="n">
        <f aca="false">INDEX(경지체계!$C$4:$C$11,F16)</f>
        <v>2.7</v>
      </c>
      <c r="H16" s="14" t="n">
        <f aca="false">가정!$B$13*G16*(1+E16)</f>
        <v>302.4</v>
      </c>
      <c r="I16" s="15" t="n">
        <f aca="false">H16/(가정!$B$13*INDEX(경지체계!$C$4:$C$11,6))</f>
        <v>1.344</v>
      </c>
      <c r="J16" s="12" t="n">
        <f aca="false">(5*가정!$B$13*INDEX(경지체계!$C$4:$C$11,6)+H16)/(6*가정!$B$13*INDEX(경지체계!$C$4:$C$11,6))-1</f>
        <v>0.0573333333333335</v>
      </c>
      <c r="K16" s="4" t="str">
        <f aca="false">IF(J16&lt;=가정!$B$14,"PASS","FAIL")</f>
        <v>PASS</v>
      </c>
    </row>
    <row r="17" customFormat="false" ht="15" hidden="false" customHeight="false" outlineLevel="0" collapsed="false">
      <c r="A17" s="4" t="n">
        <v>14</v>
      </c>
      <c r="B17" s="4" t="n">
        <f aca="false">IF(A17&lt;=10,가정!$B$15,IF(A17&lt;=25,가정!$B$16,가정!$B$17))</f>
        <v>100</v>
      </c>
      <c r="C17" s="4" t="n">
        <f aca="false">C16+B17</f>
        <v>1000</v>
      </c>
      <c r="D17" s="4" t="n">
        <f aca="false">INDEX(장삼계승!$A$4:$A$34,MATCH(C17,장삼계승!$C$4:$C$34,1))</f>
        <v>13</v>
      </c>
      <c r="E17" s="12" t="n">
        <f aca="false">D17*가정!$B$7</f>
        <v>0.13</v>
      </c>
      <c r="F17" s="4" t="n">
        <f aca="false">6+IF(D17&gt;=가정!$B$11,1,0)+IF(D17&gt;=가정!$B$12,1,0)</f>
        <v>7</v>
      </c>
      <c r="G17" s="13" t="n">
        <f aca="false">INDEX(경지체계!$C$4:$C$11,F17)</f>
        <v>2.7</v>
      </c>
      <c r="H17" s="14" t="n">
        <f aca="false">가정!$B$13*G17*(1+E17)</f>
        <v>305.1</v>
      </c>
      <c r="I17" s="15" t="n">
        <f aca="false">H17/(가정!$B$13*INDEX(경지체계!$C$4:$C$11,6))</f>
        <v>1.356</v>
      </c>
      <c r="J17" s="12" t="n">
        <f aca="false">(5*가정!$B$13*INDEX(경지체계!$C$4:$C$11,6)+H17)/(6*가정!$B$13*INDEX(경지체계!$C$4:$C$11,6))-1</f>
        <v>0.0593333333333332</v>
      </c>
      <c r="K17" s="4" t="str">
        <f aca="false">IF(J17&lt;=가정!$B$14,"PASS","FAIL")</f>
        <v>PASS</v>
      </c>
    </row>
    <row r="18" customFormat="false" ht="15" hidden="false" customHeight="false" outlineLevel="0" collapsed="false">
      <c r="A18" s="4" t="n">
        <v>15</v>
      </c>
      <c r="B18" s="4" t="n">
        <f aca="false">IF(A18&lt;=10,가정!$B$15,IF(A18&lt;=25,가정!$B$16,가정!$B$17))</f>
        <v>100</v>
      </c>
      <c r="C18" s="4" t="n">
        <f aca="false">C17+B18</f>
        <v>1100</v>
      </c>
      <c r="D18" s="4" t="n">
        <f aca="false">INDEX(장삼계승!$A$4:$A$34,MATCH(C18,장삼계승!$C$4:$C$34,1))</f>
        <v>14</v>
      </c>
      <c r="E18" s="12" t="n">
        <f aca="false">D18*가정!$B$7</f>
        <v>0.14</v>
      </c>
      <c r="F18" s="4" t="n">
        <f aca="false">6+IF(D18&gt;=가정!$B$11,1,0)+IF(D18&gt;=가정!$B$12,1,0)</f>
        <v>7</v>
      </c>
      <c r="G18" s="13" t="n">
        <f aca="false">INDEX(경지체계!$C$4:$C$11,F18)</f>
        <v>2.7</v>
      </c>
      <c r="H18" s="14" t="n">
        <f aca="false">가정!$B$13*G18*(1+E18)</f>
        <v>307.8</v>
      </c>
      <c r="I18" s="15" t="n">
        <f aca="false">H18/(가정!$B$13*INDEX(경지체계!$C$4:$C$11,6))</f>
        <v>1.368</v>
      </c>
      <c r="J18" s="12" t="n">
        <f aca="false">(5*가정!$B$13*INDEX(경지체계!$C$4:$C$11,6)+H18)/(6*가정!$B$13*INDEX(경지체계!$C$4:$C$11,6))-1</f>
        <v>0.0613333333333332</v>
      </c>
      <c r="K18" s="4" t="str">
        <f aca="false">IF(J18&lt;=가정!$B$14,"PASS","FAIL")</f>
        <v>PASS</v>
      </c>
    </row>
    <row r="19" customFormat="false" ht="15" hidden="false" customHeight="false" outlineLevel="0" collapsed="false">
      <c r="A19" s="4" t="n">
        <v>16</v>
      </c>
      <c r="B19" s="4" t="n">
        <f aca="false">IF(A19&lt;=10,가정!$B$15,IF(A19&lt;=25,가정!$B$16,가정!$B$17))</f>
        <v>100</v>
      </c>
      <c r="C19" s="4" t="n">
        <f aca="false">C18+B19</f>
        <v>1200</v>
      </c>
      <c r="D19" s="4" t="n">
        <f aca="false">INDEX(장삼계승!$A$4:$A$34,MATCH(C19,장삼계승!$C$4:$C$34,1))</f>
        <v>14</v>
      </c>
      <c r="E19" s="12" t="n">
        <f aca="false">D19*가정!$B$7</f>
        <v>0.14</v>
      </c>
      <c r="F19" s="4" t="n">
        <f aca="false">6+IF(D19&gt;=가정!$B$11,1,0)+IF(D19&gt;=가정!$B$12,1,0)</f>
        <v>7</v>
      </c>
      <c r="G19" s="13" t="n">
        <f aca="false">INDEX(경지체계!$C$4:$C$11,F19)</f>
        <v>2.7</v>
      </c>
      <c r="H19" s="14" t="n">
        <f aca="false">가정!$B$13*G19*(1+E19)</f>
        <v>307.8</v>
      </c>
      <c r="I19" s="15" t="n">
        <f aca="false">H19/(가정!$B$13*INDEX(경지체계!$C$4:$C$11,6))</f>
        <v>1.368</v>
      </c>
      <c r="J19" s="12" t="n">
        <f aca="false">(5*가정!$B$13*INDEX(경지체계!$C$4:$C$11,6)+H19)/(6*가정!$B$13*INDEX(경지체계!$C$4:$C$11,6))-1</f>
        <v>0.0613333333333332</v>
      </c>
      <c r="K19" s="4" t="str">
        <f aca="false">IF(J19&lt;=가정!$B$14,"PASS","FAIL")</f>
        <v>PASS</v>
      </c>
    </row>
    <row r="20" customFormat="false" ht="15" hidden="false" customHeight="false" outlineLevel="0" collapsed="false">
      <c r="A20" s="4" t="n">
        <v>17</v>
      </c>
      <c r="B20" s="4" t="n">
        <f aca="false">IF(A20&lt;=10,가정!$B$15,IF(A20&lt;=25,가정!$B$16,가정!$B$17))</f>
        <v>100</v>
      </c>
      <c r="C20" s="4" t="n">
        <f aca="false">C19+B20</f>
        <v>1300</v>
      </c>
      <c r="D20" s="4" t="n">
        <f aca="false">INDEX(장삼계승!$A$4:$A$34,MATCH(C20,장삼계승!$C$4:$C$34,1))</f>
        <v>15</v>
      </c>
      <c r="E20" s="12" t="n">
        <f aca="false">D20*가정!$B$7</f>
        <v>0.15</v>
      </c>
      <c r="F20" s="4" t="n">
        <f aca="false">6+IF(D20&gt;=가정!$B$11,1,0)+IF(D20&gt;=가정!$B$12,1,0)</f>
        <v>7</v>
      </c>
      <c r="G20" s="13" t="n">
        <f aca="false">INDEX(경지체계!$C$4:$C$11,F20)</f>
        <v>2.7</v>
      </c>
      <c r="H20" s="14" t="n">
        <f aca="false">가정!$B$13*G20*(1+E20)</f>
        <v>310.5</v>
      </c>
      <c r="I20" s="15" t="n">
        <f aca="false">H20/(가정!$B$13*INDEX(경지체계!$C$4:$C$11,6))</f>
        <v>1.38</v>
      </c>
      <c r="J20" s="12" t="n">
        <f aca="false">(5*가정!$B$13*INDEX(경지체계!$C$4:$C$11,6)+H20)/(6*가정!$B$13*INDEX(경지체계!$C$4:$C$11,6))-1</f>
        <v>0.0633333333333332</v>
      </c>
      <c r="K20" s="4" t="str">
        <f aca="false">IF(J20&lt;=가정!$B$14,"PASS","FAIL")</f>
        <v>PASS</v>
      </c>
    </row>
    <row r="21" customFormat="false" ht="15" hidden="false" customHeight="false" outlineLevel="0" collapsed="false">
      <c r="A21" s="4" t="n">
        <v>18</v>
      </c>
      <c r="B21" s="4" t="n">
        <f aca="false">IF(A21&lt;=10,가정!$B$15,IF(A21&lt;=25,가정!$B$16,가정!$B$17))</f>
        <v>100</v>
      </c>
      <c r="C21" s="4" t="n">
        <f aca="false">C20+B21</f>
        <v>1400</v>
      </c>
      <c r="D21" s="4" t="n">
        <f aca="false">INDEX(장삼계승!$A$4:$A$34,MATCH(C21,장삼계승!$C$4:$C$34,1))</f>
        <v>16</v>
      </c>
      <c r="E21" s="12" t="n">
        <f aca="false">D21*가정!$B$7</f>
        <v>0.16</v>
      </c>
      <c r="F21" s="4" t="n">
        <f aca="false">6+IF(D21&gt;=가정!$B$11,1,0)+IF(D21&gt;=가정!$B$12,1,0)</f>
        <v>7</v>
      </c>
      <c r="G21" s="13" t="n">
        <f aca="false">INDEX(경지체계!$C$4:$C$11,F21)</f>
        <v>2.7</v>
      </c>
      <c r="H21" s="14" t="n">
        <f aca="false">가정!$B$13*G21*(1+E21)</f>
        <v>313.2</v>
      </c>
      <c r="I21" s="15" t="n">
        <f aca="false">H21/(가정!$B$13*INDEX(경지체계!$C$4:$C$11,6))</f>
        <v>1.392</v>
      </c>
      <c r="J21" s="12" t="n">
        <f aca="false">(5*가정!$B$13*INDEX(경지체계!$C$4:$C$11,6)+H21)/(6*가정!$B$13*INDEX(경지체계!$C$4:$C$11,6))-1</f>
        <v>0.0653333333333335</v>
      </c>
      <c r="K21" s="4" t="str">
        <f aca="false">IF(J21&lt;=가정!$B$14,"PASS","FAIL")</f>
        <v>PASS</v>
      </c>
    </row>
    <row r="22" customFormat="false" ht="15" hidden="false" customHeight="false" outlineLevel="0" collapsed="false">
      <c r="A22" s="4" t="n">
        <v>19</v>
      </c>
      <c r="B22" s="4" t="n">
        <f aca="false">IF(A22&lt;=10,가정!$B$15,IF(A22&lt;=25,가정!$B$16,가정!$B$17))</f>
        <v>100</v>
      </c>
      <c r="C22" s="4" t="n">
        <f aca="false">C21+B22</f>
        <v>1500</v>
      </c>
      <c r="D22" s="4" t="n">
        <f aca="false">INDEX(장삼계승!$A$4:$A$34,MATCH(C22,장삼계승!$C$4:$C$34,1))</f>
        <v>16</v>
      </c>
      <c r="E22" s="12" t="n">
        <f aca="false">D22*가정!$B$7</f>
        <v>0.16</v>
      </c>
      <c r="F22" s="4" t="n">
        <f aca="false">6+IF(D22&gt;=가정!$B$11,1,0)+IF(D22&gt;=가정!$B$12,1,0)</f>
        <v>7</v>
      </c>
      <c r="G22" s="13" t="n">
        <f aca="false">INDEX(경지체계!$C$4:$C$11,F22)</f>
        <v>2.7</v>
      </c>
      <c r="H22" s="14" t="n">
        <f aca="false">가정!$B$13*G22*(1+E22)</f>
        <v>313.2</v>
      </c>
      <c r="I22" s="15" t="n">
        <f aca="false">H22/(가정!$B$13*INDEX(경지체계!$C$4:$C$11,6))</f>
        <v>1.392</v>
      </c>
      <c r="J22" s="12" t="n">
        <f aca="false">(5*가정!$B$13*INDEX(경지체계!$C$4:$C$11,6)+H22)/(6*가정!$B$13*INDEX(경지체계!$C$4:$C$11,6))-1</f>
        <v>0.0653333333333335</v>
      </c>
      <c r="K22" s="4" t="str">
        <f aca="false">IF(J22&lt;=가정!$B$14,"PASS","FAIL")</f>
        <v>PASS</v>
      </c>
    </row>
    <row r="23" customFormat="false" ht="15" hidden="false" customHeight="false" outlineLevel="0" collapsed="false">
      <c r="A23" s="4" t="n">
        <v>20</v>
      </c>
      <c r="B23" s="4" t="n">
        <f aca="false">IF(A23&lt;=10,가정!$B$15,IF(A23&lt;=25,가정!$B$16,가정!$B$17))</f>
        <v>100</v>
      </c>
      <c r="C23" s="4" t="n">
        <f aca="false">C22+B23</f>
        <v>1600</v>
      </c>
      <c r="D23" s="4" t="n">
        <f aca="false">INDEX(장삼계승!$A$4:$A$34,MATCH(C23,장삼계승!$C$4:$C$34,1))</f>
        <v>17</v>
      </c>
      <c r="E23" s="12" t="n">
        <f aca="false">D23*가정!$B$7</f>
        <v>0.17</v>
      </c>
      <c r="F23" s="4" t="n">
        <f aca="false">6+IF(D23&gt;=가정!$B$11,1,0)+IF(D23&gt;=가정!$B$12,1,0)</f>
        <v>7</v>
      </c>
      <c r="G23" s="13" t="n">
        <f aca="false">INDEX(경지체계!$C$4:$C$11,F23)</f>
        <v>2.7</v>
      </c>
      <c r="H23" s="14" t="n">
        <f aca="false">가정!$B$13*G23*(1+E23)</f>
        <v>315.9</v>
      </c>
      <c r="I23" s="15" t="n">
        <f aca="false">H23/(가정!$B$13*INDEX(경지체계!$C$4:$C$11,6))</f>
        <v>1.404</v>
      </c>
      <c r="J23" s="12" t="n">
        <f aca="false">(5*가정!$B$13*INDEX(경지체계!$C$4:$C$11,6)+H23)/(6*가정!$B$13*INDEX(경지체계!$C$4:$C$11,6))-1</f>
        <v>0.0673333333333335</v>
      </c>
      <c r="K23" s="4" t="str">
        <f aca="false">IF(J23&lt;=가정!$B$14,"PASS","FAIL")</f>
        <v>PASS</v>
      </c>
    </row>
    <row r="24" customFormat="false" ht="15" hidden="false" customHeight="false" outlineLevel="0" collapsed="false">
      <c r="A24" s="4" t="n">
        <v>21</v>
      </c>
      <c r="B24" s="4" t="n">
        <f aca="false">IF(A24&lt;=10,가정!$B$15,IF(A24&lt;=25,가정!$B$16,가정!$B$17))</f>
        <v>100</v>
      </c>
      <c r="C24" s="4" t="n">
        <f aca="false">C23+B24</f>
        <v>1700</v>
      </c>
      <c r="D24" s="4" t="n">
        <f aca="false">INDEX(장삼계승!$A$4:$A$34,MATCH(C24,장삼계승!$C$4:$C$34,1))</f>
        <v>18</v>
      </c>
      <c r="E24" s="12" t="n">
        <f aca="false">D24*가정!$B$7</f>
        <v>0.18</v>
      </c>
      <c r="F24" s="4" t="n">
        <f aca="false">6+IF(D24&gt;=가정!$B$11,1,0)+IF(D24&gt;=가정!$B$12,1,0)</f>
        <v>7</v>
      </c>
      <c r="G24" s="13" t="n">
        <f aca="false">INDEX(경지체계!$C$4:$C$11,F24)</f>
        <v>2.7</v>
      </c>
      <c r="H24" s="14" t="n">
        <f aca="false">가정!$B$13*G24*(1+E24)</f>
        <v>318.6</v>
      </c>
      <c r="I24" s="15" t="n">
        <f aca="false">H24/(가정!$B$13*INDEX(경지체계!$C$4:$C$11,6))</f>
        <v>1.416</v>
      </c>
      <c r="J24" s="12" t="n">
        <f aca="false">(5*가정!$B$13*INDEX(경지체계!$C$4:$C$11,6)+H24)/(6*가정!$B$13*INDEX(경지체계!$C$4:$C$11,6))-1</f>
        <v>0.0693333333333333</v>
      </c>
      <c r="K24" s="4" t="str">
        <f aca="false">IF(J24&lt;=가정!$B$14,"PASS","FAIL")</f>
        <v>PASS</v>
      </c>
    </row>
    <row r="25" customFormat="false" ht="15" hidden="false" customHeight="false" outlineLevel="0" collapsed="false">
      <c r="A25" s="4" t="n">
        <v>22</v>
      </c>
      <c r="B25" s="4" t="n">
        <f aca="false">IF(A25&lt;=10,가정!$B$15,IF(A25&lt;=25,가정!$B$16,가정!$B$17))</f>
        <v>100</v>
      </c>
      <c r="C25" s="4" t="n">
        <f aca="false">C24+B25</f>
        <v>1800</v>
      </c>
      <c r="D25" s="4" t="n">
        <f aca="false">INDEX(장삼계승!$A$4:$A$34,MATCH(C25,장삼계승!$C$4:$C$34,1))</f>
        <v>18</v>
      </c>
      <c r="E25" s="12" t="n">
        <f aca="false">D25*가정!$B$7</f>
        <v>0.18</v>
      </c>
      <c r="F25" s="4" t="n">
        <f aca="false">6+IF(D25&gt;=가정!$B$11,1,0)+IF(D25&gt;=가정!$B$12,1,0)</f>
        <v>7</v>
      </c>
      <c r="G25" s="13" t="n">
        <f aca="false">INDEX(경지체계!$C$4:$C$11,F25)</f>
        <v>2.7</v>
      </c>
      <c r="H25" s="14" t="n">
        <f aca="false">가정!$B$13*G25*(1+E25)</f>
        <v>318.6</v>
      </c>
      <c r="I25" s="15" t="n">
        <f aca="false">H25/(가정!$B$13*INDEX(경지체계!$C$4:$C$11,6))</f>
        <v>1.416</v>
      </c>
      <c r="J25" s="12" t="n">
        <f aca="false">(5*가정!$B$13*INDEX(경지체계!$C$4:$C$11,6)+H25)/(6*가정!$B$13*INDEX(경지체계!$C$4:$C$11,6))-1</f>
        <v>0.0693333333333333</v>
      </c>
      <c r="K25" s="4" t="str">
        <f aca="false">IF(J25&lt;=가정!$B$14,"PASS","FAIL")</f>
        <v>PASS</v>
      </c>
    </row>
    <row r="26" customFormat="false" ht="15" hidden="false" customHeight="false" outlineLevel="0" collapsed="false">
      <c r="A26" s="4" t="n">
        <v>23</v>
      </c>
      <c r="B26" s="4" t="n">
        <f aca="false">IF(A26&lt;=10,가정!$B$15,IF(A26&lt;=25,가정!$B$16,가정!$B$17))</f>
        <v>100</v>
      </c>
      <c r="C26" s="4" t="n">
        <f aca="false">C25+B26</f>
        <v>1900</v>
      </c>
      <c r="D26" s="4" t="n">
        <f aca="false">INDEX(장삼계승!$A$4:$A$34,MATCH(C26,장삼계승!$C$4:$C$34,1))</f>
        <v>19</v>
      </c>
      <c r="E26" s="12" t="n">
        <f aca="false">D26*가정!$B$7</f>
        <v>0.19</v>
      </c>
      <c r="F26" s="4" t="n">
        <f aca="false">6+IF(D26&gt;=가정!$B$11,1,0)+IF(D26&gt;=가정!$B$12,1,0)</f>
        <v>7</v>
      </c>
      <c r="G26" s="13" t="n">
        <f aca="false">INDEX(경지체계!$C$4:$C$11,F26)</f>
        <v>2.7</v>
      </c>
      <c r="H26" s="14" t="n">
        <f aca="false">가정!$B$13*G26*(1+E26)</f>
        <v>321.3</v>
      </c>
      <c r="I26" s="15" t="n">
        <f aca="false">H26/(가정!$B$13*INDEX(경지체계!$C$4:$C$11,6))</f>
        <v>1.428</v>
      </c>
      <c r="J26" s="12" t="n">
        <f aca="false">(5*가정!$B$13*INDEX(경지체계!$C$4:$C$11,6)+H26)/(6*가정!$B$13*INDEX(경지체계!$C$4:$C$11,6))-1</f>
        <v>0.0713333333333333</v>
      </c>
      <c r="K26" s="4" t="str">
        <f aca="false">IF(J26&lt;=가정!$B$14,"PASS","FAIL")</f>
        <v>PASS</v>
      </c>
    </row>
    <row r="27" customFormat="false" ht="15" hidden="false" customHeight="false" outlineLevel="0" collapsed="false">
      <c r="A27" s="4" t="n">
        <v>24</v>
      </c>
      <c r="B27" s="4" t="n">
        <f aca="false">IF(A27&lt;=10,가정!$B$15,IF(A27&lt;=25,가정!$B$16,가정!$B$17))</f>
        <v>100</v>
      </c>
      <c r="C27" s="4" t="n">
        <f aca="false">C26+B27</f>
        <v>2000</v>
      </c>
      <c r="D27" s="4" t="n">
        <f aca="false">INDEX(장삼계승!$A$4:$A$34,MATCH(C27,장삼계승!$C$4:$C$34,1))</f>
        <v>19</v>
      </c>
      <c r="E27" s="12" t="n">
        <f aca="false">D27*가정!$B$7</f>
        <v>0.19</v>
      </c>
      <c r="F27" s="4" t="n">
        <f aca="false">6+IF(D27&gt;=가정!$B$11,1,0)+IF(D27&gt;=가정!$B$12,1,0)</f>
        <v>7</v>
      </c>
      <c r="G27" s="13" t="n">
        <f aca="false">INDEX(경지체계!$C$4:$C$11,F27)</f>
        <v>2.7</v>
      </c>
      <c r="H27" s="14" t="n">
        <f aca="false">가정!$B$13*G27*(1+E27)</f>
        <v>321.3</v>
      </c>
      <c r="I27" s="15" t="n">
        <f aca="false">H27/(가정!$B$13*INDEX(경지체계!$C$4:$C$11,6))</f>
        <v>1.428</v>
      </c>
      <c r="J27" s="12" t="n">
        <f aca="false">(5*가정!$B$13*INDEX(경지체계!$C$4:$C$11,6)+H27)/(6*가정!$B$13*INDEX(경지체계!$C$4:$C$11,6))-1</f>
        <v>0.0713333333333333</v>
      </c>
      <c r="K27" s="4" t="str">
        <f aca="false">IF(J27&lt;=가정!$B$14,"PASS","FAIL")</f>
        <v>PASS</v>
      </c>
    </row>
    <row r="28" customFormat="false" ht="15" hidden="false" customHeight="false" outlineLevel="0" collapsed="false">
      <c r="A28" s="4" t="n">
        <v>25</v>
      </c>
      <c r="B28" s="4" t="n">
        <f aca="false">IF(A28&lt;=10,가정!$B$15,IF(A28&lt;=25,가정!$B$16,가정!$B$17))</f>
        <v>100</v>
      </c>
      <c r="C28" s="4" t="n">
        <f aca="false">C27+B28</f>
        <v>2100</v>
      </c>
      <c r="D28" s="4" t="n">
        <f aca="false">INDEX(장삼계승!$A$4:$A$34,MATCH(C28,장삼계승!$C$4:$C$34,1))</f>
        <v>20</v>
      </c>
      <c r="E28" s="12" t="n">
        <f aca="false">D28*가정!$B$7</f>
        <v>0.2</v>
      </c>
      <c r="F28" s="4" t="n">
        <f aca="false">6+IF(D28&gt;=가정!$B$11,1,0)+IF(D28&gt;=가정!$B$12,1,0)</f>
        <v>7</v>
      </c>
      <c r="G28" s="13" t="n">
        <f aca="false">INDEX(경지체계!$C$4:$C$11,F28)</f>
        <v>2.7</v>
      </c>
      <c r="H28" s="14" t="n">
        <f aca="false">가정!$B$13*G28*(1+E28)</f>
        <v>324</v>
      </c>
      <c r="I28" s="15" t="n">
        <f aca="false">H28/(가정!$B$13*INDEX(경지체계!$C$4:$C$11,6))</f>
        <v>1.44</v>
      </c>
      <c r="J28" s="12" t="n">
        <f aca="false">(5*가정!$B$13*INDEX(경지체계!$C$4:$C$11,6)+H28)/(6*가정!$B$13*INDEX(경지체계!$C$4:$C$11,6))-1</f>
        <v>0.0733333333333333</v>
      </c>
      <c r="K28" s="4" t="str">
        <f aca="false">IF(J28&lt;=가정!$B$14,"PASS","FAIL")</f>
        <v>PASS</v>
      </c>
    </row>
    <row r="29" customFormat="false" ht="15" hidden="false" customHeight="false" outlineLevel="0" collapsed="false">
      <c r="A29" s="4" t="n">
        <v>26</v>
      </c>
      <c r="B29" s="4" t="n">
        <f aca="false">IF(A29&lt;=10,가정!$B$15,IF(A29&lt;=25,가정!$B$16,가정!$B$17))</f>
        <v>150</v>
      </c>
      <c r="C29" s="4" t="n">
        <f aca="false">C28+B29</f>
        <v>2250</v>
      </c>
      <c r="D29" s="4" t="n">
        <f aca="false">INDEX(장삼계승!$A$4:$A$34,MATCH(C29,장삼계승!$C$4:$C$34,1))</f>
        <v>21</v>
      </c>
      <c r="E29" s="12" t="n">
        <f aca="false">D29*가정!$B$7</f>
        <v>0.21</v>
      </c>
      <c r="F29" s="4" t="n">
        <f aca="false">6+IF(D29&gt;=가정!$B$11,1,0)+IF(D29&gt;=가정!$B$12,1,0)</f>
        <v>7</v>
      </c>
      <c r="G29" s="13" t="n">
        <f aca="false">INDEX(경지체계!$C$4:$C$11,F29)</f>
        <v>2.7</v>
      </c>
      <c r="H29" s="14" t="n">
        <f aca="false">가정!$B$13*G29*(1+E29)</f>
        <v>326.7</v>
      </c>
      <c r="I29" s="15" t="n">
        <f aca="false">H29/(가정!$B$13*INDEX(경지체계!$C$4:$C$11,6))</f>
        <v>1.452</v>
      </c>
      <c r="J29" s="12" t="n">
        <f aca="false">(5*가정!$B$13*INDEX(경지체계!$C$4:$C$11,6)+H29)/(6*가정!$B$13*INDEX(경지체계!$C$4:$C$11,6))-1</f>
        <v>0.0753333333333335</v>
      </c>
      <c r="K29" s="4" t="str">
        <f aca="false">IF(J29&lt;=가정!$B$14,"PASS","FAIL")</f>
        <v>PASS</v>
      </c>
    </row>
    <row r="30" customFormat="false" ht="15" hidden="false" customHeight="false" outlineLevel="0" collapsed="false">
      <c r="A30" s="4" t="n">
        <v>27</v>
      </c>
      <c r="B30" s="4" t="n">
        <f aca="false">IF(A30&lt;=10,가정!$B$15,IF(A30&lt;=25,가정!$B$16,가정!$B$17))</f>
        <v>150</v>
      </c>
      <c r="C30" s="4" t="n">
        <f aca="false">C29+B30</f>
        <v>2400</v>
      </c>
      <c r="D30" s="4" t="n">
        <f aca="false">INDEX(장삼계승!$A$4:$A$34,MATCH(C30,장삼계승!$C$4:$C$34,1))</f>
        <v>22</v>
      </c>
      <c r="E30" s="12" t="n">
        <f aca="false">D30*가정!$B$7</f>
        <v>0.22</v>
      </c>
      <c r="F30" s="4" t="n">
        <f aca="false">6+IF(D30&gt;=가정!$B$11,1,0)+IF(D30&gt;=가정!$B$12,1,0)</f>
        <v>7</v>
      </c>
      <c r="G30" s="13" t="n">
        <f aca="false">INDEX(경지체계!$C$4:$C$11,F30)</f>
        <v>2.7</v>
      </c>
      <c r="H30" s="14" t="n">
        <f aca="false">가정!$B$13*G30*(1+E30)</f>
        <v>329.4</v>
      </c>
      <c r="I30" s="15" t="n">
        <f aca="false">H30/(가정!$B$13*INDEX(경지체계!$C$4:$C$11,6))</f>
        <v>1.464</v>
      </c>
      <c r="J30" s="12" t="n">
        <f aca="false">(5*가정!$B$13*INDEX(경지체계!$C$4:$C$11,6)+H30)/(6*가정!$B$13*INDEX(경지체계!$C$4:$C$11,6))-1</f>
        <v>0.0773333333333335</v>
      </c>
      <c r="K30" s="4" t="str">
        <f aca="false">IF(J30&lt;=가정!$B$14,"PASS","FAIL")</f>
        <v>PASS</v>
      </c>
    </row>
    <row r="31" customFormat="false" ht="15" hidden="false" customHeight="false" outlineLevel="0" collapsed="false">
      <c r="A31" s="4" t="n">
        <v>28</v>
      </c>
      <c r="B31" s="4" t="n">
        <f aca="false">IF(A31&lt;=10,가정!$B$15,IF(A31&lt;=25,가정!$B$16,가정!$B$17))</f>
        <v>150</v>
      </c>
      <c r="C31" s="4" t="n">
        <f aca="false">C30+B31</f>
        <v>2550</v>
      </c>
      <c r="D31" s="4" t="n">
        <f aca="false">INDEX(장삼계승!$A$4:$A$34,MATCH(C31,장삼계승!$C$4:$C$34,1))</f>
        <v>22</v>
      </c>
      <c r="E31" s="12" t="n">
        <f aca="false">D31*가정!$B$7</f>
        <v>0.22</v>
      </c>
      <c r="F31" s="4" t="n">
        <f aca="false">6+IF(D31&gt;=가정!$B$11,1,0)+IF(D31&gt;=가정!$B$12,1,0)</f>
        <v>7</v>
      </c>
      <c r="G31" s="13" t="n">
        <f aca="false">INDEX(경지체계!$C$4:$C$11,F31)</f>
        <v>2.7</v>
      </c>
      <c r="H31" s="14" t="n">
        <f aca="false">가정!$B$13*G31*(1+E31)</f>
        <v>329.4</v>
      </c>
      <c r="I31" s="15" t="n">
        <f aca="false">H31/(가정!$B$13*INDEX(경지체계!$C$4:$C$11,6))</f>
        <v>1.464</v>
      </c>
      <c r="J31" s="12" t="n">
        <f aca="false">(5*가정!$B$13*INDEX(경지체계!$C$4:$C$11,6)+H31)/(6*가정!$B$13*INDEX(경지체계!$C$4:$C$11,6))-1</f>
        <v>0.0773333333333335</v>
      </c>
      <c r="K31" s="4" t="str">
        <f aca="false">IF(J31&lt;=가정!$B$14,"PASS","FAIL")</f>
        <v>PASS</v>
      </c>
    </row>
    <row r="32" customFormat="false" ht="15" hidden="false" customHeight="false" outlineLevel="0" collapsed="false">
      <c r="A32" s="4" t="n">
        <v>29</v>
      </c>
      <c r="B32" s="4" t="n">
        <f aca="false">IF(A32&lt;=10,가정!$B$15,IF(A32&lt;=25,가정!$B$16,가정!$B$17))</f>
        <v>150</v>
      </c>
      <c r="C32" s="4" t="n">
        <f aca="false">C31+B32</f>
        <v>2700</v>
      </c>
      <c r="D32" s="4" t="n">
        <f aca="false">INDEX(장삼계승!$A$4:$A$34,MATCH(C32,장삼계승!$C$4:$C$34,1))</f>
        <v>23</v>
      </c>
      <c r="E32" s="12" t="n">
        <f aca="false">D32*가정!$B$7</f>
        <v>0.23</v>
      </c>
      <c r="F32" s="4" t="n">
        <f aca="false">6+IF(D32&gt;=가정!$B$11,1,0)+IF(D32&gt;=가정!$B$12,1,0)</f>
        <v>7</v>
      </c>
      <c r="G32" s="13" t="n">
        <f aca="false">INDEX(경지체계!$C$4:$C$11,F32)</f>
        <v>2.7</v>
      </c>
      <c r="H32" s="14" t="n">
        <f aca="false">가정!$B$13*G32*(1+E32)</f>
        <v>332.1</v>
      </c>
      <c r="I32" s="15" t="n">
        <f aca="false">H32/(가정!$B$13*INDEX(경지체계!$C$4:$C$11,6))</f>
        <v>1.476</v>
      </c>
      <c r="J32" s="12" t="n">
        <f aca="false">(5*가정!$B$13*INDEX(경지체계!$C$4:$C$11,6)+H32)/(6*가정!$B$13*INDEX(경지체계!$C$4:$C$11,6))-1</f>
        <v>0.0793333333333333</v>
      </c>
      <c r="K32" s="4" t="str">
        <f aca="false">IF(J32&lt;=가정!$B$14,"PASS","FAIL")</f>
        <v>PASS</v>
      </c>
    </row>
    <row r="33" customFormat="false" ht="15" hidden="false" customHeight="false" outlineLevel="0" collapsed="false">
      <c r="A33" s="4" t="n">
        <v>30</v>
      </c>
      <c r="B33" s="4" t="n">
        <f aca="false">IF(A33&lt;=10,가정!$B$15,IF(A33&lt;=25,가정!$B$16,가정!$B$17))</f>
        <v>150</v>
      </c>
      <c r="C33" s="4" t="n">
        <f aca="false">C32+B33</f>
        <v>2850</v>
      </c>
      <c r="D33" s="4" t="n">
        <f aca="false">INDEX(장삼계승!$A$4:$A$34,MATCH(C33,장삼계승!$C$4:$C$34,1))</f>
        <v>24</v>
      </c>
      <c r="E33" s="12" t="n">
        <f aca="false">D33*가정!$B$7</f>
        <v>0.24</v>
      </c>
      <c r="F33" s="4" t="n">
        <f aca="false">6+IF(D33&gt;=가정!$B$11,1,0)+IF(D33&gt;=가정!$B$12,1,0)</f>
        <v>8</v>
      </c>
      <c r="G33" s="13" t="n">
        <f aca="false">INDEX(경지체계!$C$4:$C$11,F33)</f>
        <v>3.25</v>
      </c>
      <c r="H33" s="14" t="n">
        <f aca="false">가정!$B$13*G33*(1+E33)</f>
        <v>403</v>
      </c>
      <c r="I33" s="15" t="n">
        <f aca="false">H33/(가정!$B$13*INDEX(경지체계!$C$4:$C$11,6))</f>
        <v>1.79111111111111</v>
      </c>
      <c r="J33" s="12" t="n">
        <f aca="false">(5*가정!$B$13*INDEX(경지체계!$C$4:$C$11,6)+H33)/(6*가정!$B$13*INDEX(경지체계!$C$4:$C$11,6))-1</f>
        <v>0.131851851851852</v>
      </c>
      <c r="K33" s="4" t="str">
        <f aca="false">IF(J33&lt;=가정!$B$14,"PASS","FAIL")</f>
        <v>PASS</v>
      </c>
    </row>
    <row r="34" customFormat="false" ht="15" hidden="false" customHeight="false" outlineLevel="0" collapsed="false">
      <c r="A34" s="4" t="n">
        <v>31</v>
      </c>
      <c r="B34" s="4" t="n">
        <f aca="false">IF(A34&lt;=10,가정!$B$15,IF(A34&lt;=25,가정!$B$16,가정!$B$17))</f>
        <v>150</v>
      </c>
      <c r="C34" s="4" t="n">
        <f aca="false">C33+B34</f>
        <v>3000</v>
      </c>
      <c r="D34" s="4" t="n">
        <f aca="false">INDEX(장삼계승!$A$4:$A$34,MATCH(C34,장삼계승!$C$4:$C$34,1))</f>
        <v>24</v>
      </c>
      <c r="E34" s="12" t="n">
        <f aca="false">D34*가정!$B$7</f>
        <v>0.24</v>
      </c>
      <c r="F34" s="4" t="n">
        <f aca="false">6+IF(D34&gt;=가정!$B$11,1,0)+IF(D34&gt;=가정!$B$12,1,0)</f>
        <v>8</v>
      </c>
      <c r="G34" s="13" t="n">
        <f aca="false">INDEX(경지체계!$C$4:$C$11,F34)</f>
        <v>3.25</v>
      </c>
      <c r="H34" s="14" t="n">
        <f aca="false">가정!$B$13*G34*(1+E34)</f>
        <v>403</v>
      </c>
      <c r="I34" s="15" t="n">
        <f aca="false">H34/(가정!$B$13*INDEX(경지체계!$C$4:$C$11,6))</f>
        <v>1.79111111111111</v>
      </c>
      <c r="J34" s="12" t="n">
        <f aca="false">(5*가정!$B$13*INDEX(경지체계!$C$4:$C$11,6)+H34)/(6*가정!$B$13*INDEX(경지체계!$C$4:$C$11,6))-1</f>
        <v>0.131851851851852</v>
      </c>
      <c r="K34" s="4" t="str">
        <f aca="false">IF(J34&lt;=가정!$B$14,"PASS","FAIL")</f>
        <v>PASS</v>
      </c>
    </row>
    <row r="35" customFormat="false" ht="15" hidden="false" customHeight="false" outlineLevel="0" collapsed="false">
      <c r="A35" s="4" t="n">
        <v>32</v>
      </c>
      <c r="B35" s="4" t="n">
        <f aca="false">IF(A35&lt;=10,가정!$B$15,IF(A35&lt;=25,가정!$B$16,가정!$B$17))</f>
        <v>150</v>
      </c>
      <c r="C35" s="4" t="n">
        <f aca="false">C34+B35</f>
        <v>3150</v>
      </c>
      <c r="D35" s="4" t="n">
        <f aca="false">INDEX(장삼계승!$A$4:$A$34,MATCH(C35,장삼계승!$C$4:$C$34,1))</f>
        <v>25</v>
      </c>
      <c r="E35" s="12" t="n">
        <f aca="false">D35*가정!$B$7</f>
        <v>0.25</v>
      </c>
      <c r="F35" s="4" t="n">
        <f aca="false">6+IF(D35&gt;=가정!$B$11,1,0)+IF(D35&gt;=가정!$B$12,1,0)</f>
        <v>8</v>
      </c>
      <c r="G35" s="13" t="n">
        <f aca="false">INDEX(경지체계!$C$4:$C$11,F35)</f>
        <v>3.25</v>
      </c>
      <c r="H35" s="14" t="n">
        <f aca="false">가정!$B$13*G35*(1+E35)</f>
        <v>406.25</v>
      </c>
      <c r="I35" s="15" t="n">
        <f aca="false">H35/(가정!$B$13*INDEX(경지체계!$C$4:$C$11,6))</f>
        <v>1.80555555555556</v>
      </c>
      <c r="J35" s="12" t="n">
        <f aca="false">(5*가정!$B$13*INDEX(경지체계!$C$4:$C$11,6)+H35)/(6*가정!$B$13*INDEX(경지체계!$C$4:$C$11,6))-1</f>
        <v>0.134259259259259</v>
      </c>
      <c r="K35" s="4" t="str">
        <f aca="false">IF(J35&lt;=가정!$B$14,"PASS","FAIL")</f>
        <v>PASS</v>
      </c>
    </row>
    <row r="36" customFormat="false" ht="15" hidden="false" customHeight="false" outlineLevel="0" collapsed="false">
      <c r="A36" s="4" t="n">
        <v>33</v>
      </c>
      <c r="B36" s="4" t="n">
        <f aca="false">IF(A36&lt;=10,가정!$B$15,IF(A36&lt;=25,가정!$B$16,가정!$B$17))</f>
        <v>150</v>
      </c>
      <c r="C36" s="4" t="n">
        <f aca="false">C35+B36</f>
        <v>3300</v>
      </c>
      <c r="D36" s="4" t="n">
        <f aca="false">INDEX(장삼계승!$A$4:$A$34,MATCH(C36,장삼계승!$C$4:$C$34,1))</f>
        <v>26</v>
      </c>
      <c r="E36" s="12" t="n">
        <f aca="false">D36*가정!$B$7</f>
        <v>0.26</v>
      </c>
      <c r="F36" s="4" t="n">
        <f aca="false">6+IF(D36&gt;=가정!$B$11,1,0)+IF(D36&gt;=가정!$B$12,1,0)</f>
        <v>8</v>
      </c>
      <c r="G36" s="13" t="n">
        <f aca="false">INDEX(경지체계!$C$4:$C$11,F36)</f>
        <v>3.25</v>
      </c>
      <c r="H36" s="14" t="n">
        <f aca="false">가정!$B$13*G36*(1+E36)</f>
        <v>409.5</v>
      </c>
      <c r="I36" s="15" t="n">
        <f aca="false">H36/(가정!$B$13*INDEX(경지체계!$C$4:$C$11,6))</f>
        <v>1.82</v>
      </c>
      <c r="J36" s="12" t="n">
        <f aca="false">(5*가정!$B$13*INDEX(경지체계!$C$4:$C$11,6)+H36)/(6*가정!$B$13*INDEX(경지체계!$C$4:$C$11,6))-1</f>
        <v>0.136666666666667</v>
      </c>
      <c r="K36" s="4" t="str">
        <f aca="false">IF(J36&lt;=가정!$B$14,"PASS","FAIL")</f>
        <v>PASS</v>
      </c>
    </row>
    <row r="37" customFormat="false" ht="15" hidden="false" customHeight="false" outlineLevel="0" collapsed="false">
      <c r="A37" s="4" t="n">
        <v>34</v>
      </c>
      <c r="B37" s="4" t="n">
        <f aca="false">IF(A37&lt;=10,가정!$B$15,IF(A37&lt;=25,가정!$B$16,가정!$B$17))</f>
        <v>150</v>
      </c>
      <c r="C37" s="4" t="n">
        <f aca="false">C36+B37</f>
        <v>3450</v>
      </c>
      <c r="D37" s="4" t="n">
        <f aca="false">INDEX(장삼계승!$A$4:$A$34,MATCH(C37,장삼계승!$C$4:$C$34,1))</f>
        <v>26</v>
      </c>
      <c r="E37" s="12" t="n">
        <f aca="false">D37*가정!$B$7</f>
        <v>0.26</v>
      </c>
      <c r="F37" s="4" t="n">
        <f aca="false">6+IF(D37&gt;=가정!$B$11,1,0)+IF(D37&gt;=가정!$B$12,1,0)</f>
        <v>8</v>
      </c>
      <c r="G37" s="13" t="n">
        <f aca="false">INDEX(경지체계!$C$4:$C$11,F37)</f>
        <v>3.25</v>
      </c>
      <c r="H37" s="14" t="n">
        <f aca="false">가정!$B$13*G37*(1+E37)</f>
        <v>409.5</v>
      </c>
      <c r="I37" s="15" t="n">
        <f aca="false">H37/(가정!$B$13*INDEX(경지체계!$C$4:$C$11,6))</f>
        <v>1.82</v>
      </c>
      <c r="J37" s="12" t="n">
        <f aca="false">(5*가정!$B$13*INDEX(경지체계!$C$4:$C$11,6)+H37)/(6*가정!$B$13*INDEX(경지체계!$C$4:$C$11,6))-1</f>
        <v>0.136666666666667</v>
      </c>
      <c r="K37" s="4" t="str">
        <f aca="false">IF(J37&lt;=가정!$B$14,"PASS","FAIL")</f>
        <v>PASS</v>
      </c>
    </row>
    <row r="38" customFormat="false" ht="15" hidden="false" customHeight="false" outlineLevel="0" collapsed="false">
      <c r="A38" s="4" t="n">
        <v>35</v>
      </c>
      <c r="B38" s="4" t="n">
        <f aca="false">IF(A38&lt;=10,가정!$B$15,IF(A38&lt;=25,가정!$B$16,가정!$B$17))</f>
        <v>150</v>
      </c>
      <c r="C38" s="4" t="n">
        <f aca="false">C37+B38</f>
        <v>3600</v>
      </c>
      <c r="D38" s="4" t="n">
        <f aca="false">INDEX(장삼계승!$A$4:$A$34,MATCH(C38,장삼계승!$C$4:$C$34,1))</f>
        <v>27</v>
      </c>
      <c r="E38" s="12" t="n">
        <f aca="false">D38*가정!$B$7</f>
        <v>0.27</v>
      </c>
      <c r="F38" s="4" t="n">
        <f aca="false">6+IF(D38&gt;=가정!$B$11,1,0)+IF(D38&gt;=가정!$B$12,1,0)</f>
        <v>8</v>
      </c>
      <c r="G38" s="13" t="n">
        <f aca="false">INDEX(경지체계!$C$4:$C$11,F38)</f>
        <v>3.25</v>
      </c>
      <c r="H38" s="14" t="n">
        <f aca="false">가정!$B$13*G38*(1+E38)</f>
        <v>412.75</v>
      </c>
      <c r="I38" s="15" t="n">
        <f aca="false">H38/(가정!$B$13*INDEX(경지체계!$C$4:$C$11,6))</f>
        <v>1.83444444444444</v>
      </c>
      <c r="J38" s="12" t="n">
        <f aca="false">(5*가정!$B$13*INDEX(경지체계!$C$4:$C$11,6)+H38)/(6*가정!$B$13*INDEX(경지체계!$C$4:$C$11,6))-1</f>
        <v>0.139074074074074</v>
      </c>
      <c r="K38" s="4" t="str">
        <f aca="false">IF(J38&lt;=가정!$B$14,"PASS","FAIL")</f>
        <v>PASS</v>
      </c>
    </row>
    <row r="39" customFormat="false" ht="15" hidden="false" customHeight="false" outlineLevel="0" collapsed="false">
      <c r="A39" s="4" t="n">
        <v>36</v>
      </c>
      <c r="B39" s="4" t="n">
        <f aca="false">IF(A39&lt;=10,가정!$B$15,IF(A39&lt;=25,가정!$B$16,가정!$B$17))</f>
        <v>150</v>
      </c>
      <c r="C39" s="4" t="n">
        <f aca="false">C38+B39</f>
        <v>3750</v>
      </c>
      <c r="D39" s="4" t="n">
        <f aca="false">INDEX(장삼계승!$A$4:$A$34,MATCH(C39,장삼계승!$C$4:$C$34,1))</f>
        <v>28</v>
      </c>
      <c r="E39" s="12" t="n">
        <f aca="false">D39*가정!$B$7</f>
        <v>0.28</v>
      </c>
      <c r="F39" s="4" t="n">
        <f aca="false">6+IF(D39&gt;=가정!$B$11,1,0)+IF(D39&gt;=가정!$B$12,1,0)</f>
        <v>8</v>
      </c>
      <c r="G39" s="13" t="n">
        <f aca="false">INDEX(경지체계!$C$4:$C$11,F39)</f>
        <v>3.25</v>
      </c>
      <c r="H39" s="14" t="n">
        <f aca="false">가정!$B$13*G39*(1+E39)</f>
        <v>416</v>
      </c>
      <c r="I39" s="15" t="n">
        <f aca="false">H39/(가정!$B$13*INDEX(경지체계!$C$4:$C$11,6))</f>
        <v>1.84888888888889</v>
      </c>
      <c r="J39" s="12" t="n">
        <f aca="false">(5*가정!$B$13*INDEX(경지체계!$C$4:$C$11,6)+H39)/(6*가정!$B$13*INDEX(경지체계!$C$4:$C$11,6))-1</f>
        <v>0.141481481481482</v>
      </c>
      <c r="K39" s="4" t="str">
        <f aca="false">IF(J39&lt;=가정!$B$14,"PASS","FAIL")</f>
        <v>PASS</v>
      </c>
    </row>
    <row r="40" customFormat="false" ht="15" hidden="false" customHeight="false" outlineLevel="0" collapsed="false">
      <c r="A40" s="4" t="n">
        <v>37</v>
      </c>
      <c r="B40" s="4" t="n">
        <f aca="false">IF(A40&lt;=10,가정!$B$15,IF(A40&lt;=25,가정!$B$16,가정!$B$17))</f>
        <v>150</v>
      </c>
      <c r="C40" s="4" t="n">
        <f aca="false">C39+B40</f>
        <v>3900</v>
      </c>
      <c r="D40" s="4" t="n">
        <f aca="false">INDEX(장삼계승!$A$4:$A$34,MATCH(C40,장삼계승!$C$4:$C$34,1))</f>
        <v>28</v>
      </c>
      <c r="E40" s="12" t="n">
        <f aca="false">D40*가정!$B$7</f>
        <v>0.28</v>
      </c>
      <c r="F40" s="4" t="n">
        <f aca="false">6+IF(D40&gt;=가정!$B$11,1,0)+IF(D40&gt;=가정!$B$12,1,0)</f>
        <v>8</v>
      </c>
      <c r="G40" s="13" t="n">
        <f aca="false">INDEX(경지체계!$C$4:$C$11,F40)</f>
        <v>3.25</v>
      </c>
      <c r="H40" s="14" t="n">
        <f aca="false">가정!$B$13*G40*(1+E40)</f>
        <v>416</v>
      </c>
      <c r="I40" s="15" t="n">
        <f aca="false">H40/(가정!$B$13*INDEX(경지체계!$C$4:$C$11,6))</f>
        <v>1.84888888888889</v>
      </c>
      <c r="J40" s="12" t="n">
        <f aca="false">(5*가정!$B$13*INDEX(경지체계!$C$4:$C$11,6)+H40)/(6*가정!$B$13*INDEX(경지체계!$C$4:$C$11,6))-1</f>
        <v>0.141481481481482</v>
      </c>
      <c r="K40" s="4" t="str">
        <f aca="false">IF(J40&lt;=가정!$B$14,"PASS","FAIL")</f>
        <v>PASS</v>
      </c>
    </row>
    <row r="41" customFormat="false" ht="15" hidden="false" customHeight="false" outlineLevel="0" collapsed="false">
      <c r="A41" s="4" t="n">
        <v>38</v>
      </c>
      <c r="B41" s="4" t="n">
        <f aca="false">IF(A41&lt;=10,가정!$B$15,IF(A41&lt;=25,가정!$B$16,가정!$B$17))</f>
        <v>150</v>
      </c>
      <c r="C41" s="4" t="n">
        <f aca="false">C40+B41</f>
        <v>4050</v>
      </c>
      <c r="D41" s="4" t="n">
        <f aca="false">INDEX(장삼계승!$A$4:$A$34,MATCH(C41,장삼계승!$C$4:$C$34,1))</f>
        <v>29</v>
      </c>
      <c r="E41" s="12" t="n">
        <f aca="false">D41*가정!$B$7</f>
        <v>0.29</v>
      </c>
      <c r="F41" s="4" t="n">
        <f aca="false">6+IF(D41&gt;=가정!$B$11,1,0)+IF(D41&gt;=가정!$B$12,1,0)</f>
        <v>8</v>
      </c>
      <c r="G41" s="13" t="n">
        <f aca="false">INDEX(경지체계!$C$4:$C$11,F41)</f>
        <v>3.25</v>
      </c>
      <c r="H41" s="14" t="n">
        <f aca="false">가정!$B$13*G41*(1+E41)</f>
        <v>419.25</v>
      </c>
      <c r="I41" s="15" t="n">
        <f aca="false">H41/(가정!$B$13*INDEX(경지체계!$C$4:$C$11,6))</f>
        <v>1.86333333333333</v>
      </c>
      <c r="J41" s="12" t="n">
        <f aca="false">(5*가정!$B$13*INDEX(경지체계!$C$4:$C$11,6)+H41)/(6*가정!$B$13*INDEX(경지체계!$C$4:$C$11,6))-1</f>
        <v>0.143888888888889</v>
      </c>
      <c r="K41" s="4" t="str">
        <f aca="false">IF(J41&lt;=가정!$B$14,"PASS","FAIL")</f>
        <v>PASS</v>
      </c>
    </row>
    <row r="42" customFormat="false" ht="15" hidden="false" customHeight="false" outlineLevel="0" collapsed="false">
      <c r="A42" s="4" t="n">
        <v>39</v>
      </c>
      <c r="B42" s="4" t="n">
        <f aca="false">IF(A42&lt;=10,가정!$B$15,IF(A42&lt;=25,가정!$B$16,가정!$B$17))</f>
        <v>150</v>
      </c>
      <c r="C42" s="4" t="n">
        <f aca="false">C41+B42</f>
        <v>4200</v>
      </c>
      <c r="D42" s="4" t="n">
        <f aca="false">INDEX(장삼계승!$A$4:$A$34,MATCH(C42,장삼계승!$C$4:$C$34,1))</f>
        <v>29</v>
      </c>
      <c r="E42" s="12" t="n">
        <f aca="false">D42*가정!$B$7</f>
        <v>0.29</v>
      </c>
      <c r="F42" s="4" t="n">
        <f aca="false">6+IF(D42&gt;=가정!$B$11,1,0)+IF(D42&gt;=가정!$B$12,1,0)</f>
        <v>8</v>
      </c>
      <c r="G42" s="13" t="n">
        <f aca="false">INDEX(경지체계!$C$4:$C$11,F42)</f>
        <v>3.25</v>
      </c>
      <c r="H42" s="14" t="n">
        <f aca="false">가정!$B$13*G42*(1+E42)</f>
        <v>419.25</v>
      </c>
      <c r="I42" s="15" t="n">
        <f aca="false">H42/(가정!$B$13*INDEX(경지체계!$C$4:$C$11,6))</f>
        <v>1.86333333333333</v>
      </c>
      <c r="J42" s="12" t="n">
        <f aca="false">(5*가정!$B$13*INDEX(경지체계!$C$4:$C$11,6)+H42)/(6*가정!$B$13*INDEX(경지체계!$C$4:$C$11,6))-1</f>
        <v>0.143888888888889</v>
      </c>
      <c r="K42" s="4" t="str">
        <f aca="false">IF(J42&lt;=가정!$B$14,"PASS","FAIL")</f>
        <v>PASS</v>
      </c>
    </row>
    <row r="43" customFormat="false" ht="15" hidden="false" customHeight="false" outlineLevel="0" collapsed="false">
      <c r="A43" s="4" t="n">
        <v>40</v>
      </c>
      <c r="B43" s="4" t="n">
        <f aca="false">IF(A43&lt;=10,가정!$B$15,IF(A43&lt;=25,가정!$B$16,가정!$B$17))</f>
        <v>150</v>
      </c>
      <c r="C43" s="4" t="n">
        <f aca="false">C42+B43</f>
        <v>4350</v>
      </c>
      <c r="D43" s="4" t="n">
        <f aca="false">INDEX(장삼계승!$A$4:$A$34,MATCH(C43,장삼계승!$C$4:$C$34,1))</f>
        <v>30</v>
      </c>
      <c r="E43" s="12" t="n">
        <f aca="false">D43*가정!$B$7</f>
        <v>0.3</v>
      </c>
      <c r="F43" s="4" t="n">
        <f aca="false">6+IF(D43&gt;=가정!$B$11,1,0)+IF(D43&gt;=가정!$B$12,1,0)</f>
        <v>8</v>
      </c>
      <c r="G43" s="13" t="n">
        <f aca="false">INDEX(경지체계!$C$4:$C$11,F43)</f>
        <v>3.25</v>
      </c>
      <c r="H43" s="14" t="n">
        <f aca="false">가정!$B$13*G43*(1+E43)</f>
        <v>422.5</v>
      </c>
      <c r="I43" s="15" t="n">
        <f aca="false">H43/(가정!$B$13*INDEX(경지체계!$C$4:$C$11,6))</f>
        <v>1.87777777777778</v>
      </c>
      <c r="J43" s="12" t="n">
        <f aca="false">(5*가정!$B$13*INDEX(경지체계!$C$4:$C$11,6)+H43)/(6*가정!$B$13*INDEX(경지체계!$C$4:$C$11,6))-1</f>
        <v>0.146296296296296</v>
      </c>
      <c r="K43" s="4" t="str">
        <f aca="false">IF(J43&lt;=가정!$B$14,"PASS","FAIL")</f>
        <v>PASS</v>
      </c>
    </row>
    <row r="45" customFormat="false" ht="15" hidden="false" customHeight="false" outlineLevel="0" collapsed="false">
      <c r="A45" s="2" t="s">
        <v>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2026-08-10T05:49:44Z</dcterms:created>
  <dc:creator>openpyxl</dc:creator>
  <dc:description/>
  <dc:language>en-US</dc:language>
  <cp:lastModifiedBy/>
  <dcterms:modified xsi:type="dcterms:W3CDTF">2026-08-10T05:49:44Z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